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Fixed - retest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>
        <is>
          <t>__init__.py: ISOJSONProvider — datetimes serialised ISO-8601</t>
        </is>
      </c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Fixed - retest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>
        <is>
          <t>security.py: explicit set (Flask predefines key as None so setdefault was a no-op)</t>
        </is>
      </c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Pass</t>
        </is>
      </c>
      <c r="I108" s="2" t="inlineStr">
        <is>
          <t>start() twice: stop() invoked once on restart, fresh Events, from_env twice, daemon threads named docker-events/docker-reconcile, reconcile ran once synchronously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Pass</t>
        </is>
      </c>
      <c r="I109" s="2" t="inlineStr">
        <is>
          <t>stop(): stop_event+reconcile_now set, workers popped+joined, client closed (error swallowed) &amp; nulled, threads joined &amp; nulled, active_container_ids()==[]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Pass</t>
        </is>
      </c>
      <c r="I110" s="2" t="inlineStr">
        <is>
          <t>start/restart-&gt;attach, die/destroy/stop-&gt;detach, non-container &amp; id-less ignored, stream exception swallowed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Pass</t>
        </is>
      </c>
      <c r="I111" s="2" t="inlineStr">
        <is>
          <t>existing tests pass; extra: name fallback id[:12], exitCode int coercion + raw fallback, attrs copied, non-listed status ignored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Pass</t>
        </is>
      </c>
      <c r="I112" s="2" t="inlineStr">
        <is>
          <t>force_reconcile wakes loop, event cleared, periodic ticks (5 in ~0.3s @0.05s), exits on stop_event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Pass</t>
        </is>
      </c>
      <c r="I113" s="2" t="inlineStr">
        <is>
          <t>excluded names filtered, desired-active attached, active-desired detached (name None), no-op when client None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Pass</t>
        </is>
      </c>
      <c r="I114" s="2" t="inlineStr">
        <is>
          <t>double attach -&gt; one worker; excluded name -&gt; none; containers.get error -&gt; none; thread named log-tail-&lt;name&gt;, daemon</t>
        </is>
      </c>
      <c r="J114" s="2" t="inlineStr"/>
      <c r="K114" s="2" t="inlineStr"/>
      <c r="L114" s="2" t="inlineStr"/>
      <c r="M114" s="2" t="inlineStr">
        <is>
          <t>2026-08-15</t>
        </is>
      </c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Pass</t>
        </is>
      </c>
      <c r="I115" s="2" t="inlineStr">
        <is>
          <t>detach pops worker, sets stop_flag, joins, callback(id, name-or-stored, '', True); unknown id no-op</t>
        </is>
      </c>
      <c r="J115" s="2" t="inlineStr"/>
      <c r="K115" s="2" t="inlineStr"/>
      <c r="L115" s="2" t="inlineStr"/>
      <c r="M115" s="2" t="inlineStr">
        <is>
          <t>2026-08-15</t>
        </is>
      </c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Pass</t>
        </is>
      </c>
      <c r="I116" s="2" t="inlineStr">
        <is>
          <t>backoff 1,2,4,8,16,30,30; logs(stream,follow,stdout,stderr,since); empty lines skipped; clean end breaks; not-running exits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Pass</t>
        </is>
      </c>
      <c r="I117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Pass</t>
        </is>
      </c>
      <c r="I118" s="2" t="inlineStr">
        <is>
          <t>existing tests pass; extra: worker kept when stop_flag differs; final-flush callback error swallowed; errored -&gt; reconcile_now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Pass</t>
        </is>
      </c>
      <c r="I119" s="2" t="inlineStr">
        <is>
          <t>test passes; patterns confirmed incl. edge cases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Pass</t>
        </is>
      </c>
      <c r="I120" s="2" t="inlineStr">
        <is>
          <t>default 15s; SentinelService uses default; elapsed&gt;=15 flushes old buffer as own chunk, new state starts; 14.9s does not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Pass</t>
        </is>
      </c>
      <c r="I121" s="2" t="inlineStr">
        <is>
          <t>existing tests pass; keyword_hit re-primes and resets lines_since_keyword; flush at delay lines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Pass</t>
        </is>
      </c>
      <c r="I122" s="2" t="inlineStr">
        <is>
          <t>3 named tests pass: python traceback &amp; java trace (at/Caused by/... lines) never count toward delay, flush only on next normal line; delay 0 flushes on keyword line.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Pass</t>
        </is>
      </c>
      <c r="I123" s="2" t="inlineStr">
        <is>
          <t>existing tests pass; chars&gt;=max flushes even on continuation line while primed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Pass</t>
        </is>
      </c>
      <c r="I124" s="2" t="inlineStr">
        <is>
          <t>chars=ceil(len/4) min1; tiktoken unknown model/empty model -&gt; char fallback; gpt-4o uses tiktoken, cached, incremental running estimate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Pass</t>
        </is>
      </c>
      <c r="I125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Pass</t>
        </is>
      </c>
      <c r="I126" s="2" t="inlineStr">
        <is>
          <t>primed flushes at &gt;=15s, others at &gt;=30s, empty states dropped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Pass</t>
        </is>
      </c>
      <c r="I127" s="2" t="inlineStr">
        <is>
          <t>tests pass; _sync_buffer_limits applies all 6 Settings values on handle_log_line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Pass</t>
        </is>
      </c>
      <c r="I128" s="2" t="inlineStr">
        <is>
          <t>keywords lowercased/stripped, empties dropped, configured order preserved, \b boundaries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Pass</t>
        </is>
      </c>
      <c r="I129" s="2" t="inlineStr">
        <is>
          <t>phrase pattern joins with \s+; whitespace variants match, single words don't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Pass</t>
        </is>
      </c>
      <c r="I130" s="2" t="inlineStr">
        <is>
          <t>benign JSON (0/false/null, case-insens, spaces) suppresses; mixed still hits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Pass</t>
        </is>
      </c>
      <c r="I131" s="2" t="inlineStr">
        <is>
          <t>DEFAULT_KEYWORD_LIST exact match; sentinel splits Settings.keyword_list on commas per call (source read)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Pass</t>
        </is>
      </c>
      <c r="I132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Pass</t>
        </is>
      </c>
      <c r="I133" s="2" t="inlineStr">
        <is>
          <t>disabled -&gt; no-op; case-insens substring exclusion (enabled only) -&gt; one 'excluded' event per container per 5 min, then return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Pass</t>
        </is>
      </c>
      <c r="I134" s="2" t="inlineStr">
        <is>
          <t>flush_only flushes buffered text -&gt; process_chunk ('skipped' for no keywords); line arg ignored; empty buffer no-op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Pass</t>
        </is>
      </c>
      <c r="I135" s="2" t="inlineStr">
        <is>
          <t>tests pass; handle_log_line: prefilter -&gt; add_line(keyword_hit) -&gt; chunk -&gt; process_chunk analyzed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Pass</t>
        </is>
      </c>
      <c r="I136" s="2" t="inlineStr">
        <is>
          <t>no keyword -&gt; skipped/noise persisted with sha256 hash, 1200-char excerpt, input_chars, tokens; no LLM call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Pass</t>
        </is>
      </c>
      <c r="I137" s="2" t="inlineStr">
        <is>
          <t>test passes; default 300; dedup crosses containers by hash; outside window not deduped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Pass</t>
        </is>
      </c>
      <c r="I138" s="2" t="inlineStr">
        <is>
          <t>test passes; defaults 10/3600; counts analyzed+parse_error+llm_error only; per container; window respected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Pass</t>
        </is>
      </c>
      <c r="I139" s="2" t="inlineStr">
        <is>
          <t>default 0=off; window&gt;0 -&gt; enqueue + 'queued'/noise; coalesce=False bypasses; flush_coalesced joins with separator, trims to last max_input_chars, prefixes header, coalesce=False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Pass (after fix)</t>
        </is>
      </c>
      <c r="I140" s="2" t="inlineStr">
        <is>
          <t>Now [system(SENTINEL_SYSTEM+guard), user]; verified live against Qwen server. Story expectation updated to single system message.</t>
        </is>
      </c>
      <c r="J140" s="2" t="inlineStr"/>
      <c r="K140" s="2" t="inlineStr">
        <is>
          <t>commit: guard appended to the single system message; bot merged too</t>
        </is>
      </c>
      <c r="L140" s="2" t="inlineStr">
        <is>
          <t>Pass</t>
        </is>
      </c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Pass</t>
        </is>
      </c>
      <c r="I141" s="2" t="inlineStr">
        <is>
          <t>llm exception -&gt; llm_error event committed; failure_count+1, last_failure_at, last_error, runtime degraded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Pass</t>
        </is>
      </c>
      <c r="I142" s="2" t="inlineStr">
        <is>
          <t>test passes; parse_error stores model/latency/prompt_version; degraded with 'unparseable LLM reply: ' + &lt;=300 chars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Pass</t>
        </is>
      </c>
      <c r="I143" s="2" t="inlineStr">
        <is>
          <t>tests pass; ranks noise0/warning1/critical2, default 'critical'; keyboard has event id; alert gating by threshold; runtime running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Pass</t>
        </is>
      </c>
      <c r="I144" s="2" t="inlineStr">
        <is>
          <t>successful analysis clears degraded -&gt; running/last_error None; no-op when disabled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Pass</t>
        </is>
      </c>
      <c r="I145" s="2" t="inlineStr">
        <is>
          <t>tests pass; full classification matrix incl. 143/139/None/kill w/o signal verified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Pass</t>
        </is>
      </c>
      <c r="I146" s="2" t="inlineStr">
        <is>
          <t>tests pass (threshold, cooldown suppression msg, window, global rate limit); defaults 3/10min/10min confirmed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Pass</t>
        </is>
      </c>
      <c r="I147" s="2" t="inlineStr">
        <is>
          <t>tests pass; logs(tail=200,stdout,stderr); empty -&gt; placeholder text; trimmed to last max_input_chars; client closed; coalesce bypassed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Pass</t>
        </is>
      </c>
      <c r="I148" s="2" t="inlineStr">
        <is>
          <t>tests pass; excluded (by buffered name) skipped; name falls back to id; returns processed count</t>
        </is>
      </c>
      <c r="J148" s="2" t="inlineStr"/>
      <c r="K148" s="2" t="inlineStr"/>
      <c r="L148" s="2" t="inlineStr"/>
      <c r="M148" s="2" t="inlineStr">
        <is>
          <t>2026-08-15</t>
        </is>
      </c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Pass</t>
        </is>
      </c>
      <c r="I149" s="2" t="inlineStr">
        <is>
          <t>defaults enabled False/stopped/0; set_enabled True-&gt;running+started_at; False-&gt;stopped+None; degraded sets last_error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Pass</t>
        </is>
      </c>
      <c r="I150" s="2" t="inlineStr">
        <is>
          <t>4 tests pass (same container+classification suppressed w/ exact message; cross-container/expired not; unsent ignored); default 10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Pass</t>
        </is>
      </c>
      <c r="I151" s="2" t="inlineStr">
        <is>
          <t>tests pass; constant 24h; message 'suppressed: recently rejected'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Pass</t>
        </is>
      </c>
      <c r="I152" s="2" t="inlineStr">
        <is>
          <t>tests pass (maybe_send + send_plain paths); defaults 20/300s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Pass</t>
        </is>
      </c>
      <c r="I153" s="2" t="inlineStr">
        <is>
          <t>layout matches: header/sep/summary/ROOT CAUSE/SUGGESTED FIX/LOG EXCERPT last5 trunc160(157+...)/Confidence/Event ID/Dashboard urlencoded; default CRITICAL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Pass</t>
        </is>
      </c>
      <c r="I154" s="2" t="inlineStr">
        <is>
          <t>keyboard exact; None for None id; passed as reply_markup to strategy.send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Pass</t>
        </is>
      </c>
      <c r="I155" s="2" t="inlineStr">
        <is>
          <t>send_plain: rate-limit only, reply_markup None; strategy delegates token/chat from config; empty creds -&gt; credentials error tuple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Pass</t>
        </is>
      </c>
      <c r="I156" s="2" t="inlineStr">
        <is>
          <t>schema enforces classification set (lowercased), required fields, confidence [0,1]; safe_parse returns (None, msg) for JSON/Validation/Type errors; dict payload ok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Pass</t>
        </is>
      </c>
      <c r="I157" s="2" t="inlineStr">
        <is>
          <t>test passes; fence strip, outermost balanced object string/escape aware, passthrough w/o '{'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Pass</t>
        </is>
      </c>
      <c r="I158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Pass</t>
        </is>
      </c>
      <c r="I159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Pass</t>
        </is>
      </c>
      <c r="I160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Pass</t>
        </is>
      </c>
      <c r="I161" s="2" t="inlineStr">
        <is>
          <t>header lines + ROLE:\ncontent sections joined by blank lines; RuntimeError without cli_runner; model label cli:&lt;backend&gt;, usage {} (checked in PIPE-51)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Pass</t>
        </is>
      </c>
      <c r="I162" s="2" t="inlineStr">
        <is>
          <t>name regex, missing/non-exec RuntimeErrors; nonzero exit -&gt; stderr/stdout/generic msg; empty output msg; retries+1 attempts; DOCKSENTINEL_BACKEND env; content stripped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Pass</t>
        </is>
      </c>
      <c r="I163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Pass</t>
        </is>
      </c>
      <c r="I164" s="2" t="inlineStr">
        <is>
          <t>tests pass; PATH default /usr/local/bin:/usr/bin:/bin; prefixes &amp; exact names pass; secrets dropped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Pass</t>
        </is>
      </c>
      <c r="I165" s="2" t="inlineStr">
        <is>
          <t>test passes; timeout msg exact, timeout 0 -&gt; 1s, retried per max_retries (2.0s), killpg/start_new_session/wait(5) in source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Pass</t>
        </is>
      </c>
      <c r="I166" s="2" t="inlineStr">
        <is>
          <t>tests pass; 24h window; 300 crit/warn + fill to 500 noise; 50 open/discussing issues; max_tokens 1200 temp 0.2; status generated, model from response, prompt_version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Pass</t>
        </is>
      </c>
      <c r="I167" s="2" t="inlineStr">
        <is>
          <t>tests pass; fallback has counts, restart lines '- name: N exit(s) (last: ...)', top 5 containers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Pass</t>
        </is>
      </c>
      <c r="I168" s="2" t="inlineStr">
        <is>
          <t>tests pass; cron hour/minute from settings (defaults 0/5), replace_existing, max_instances 1, coalesce; header + 3900 trunc with …; empty text skipped; failures logged</t>
        </is>
      </c>
      <c r="J168" s="2" t="inlineStr"/>
      <c r="K168" s="2" t="inlineStr"/>
      <c r="L168" s="2" t="inlineStr"/>
      <c r="M168" s="2" t="inlineStr">
        <is>
          <t>2026-08-15</t>
        </is>
      </c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Pass</t>
        </is>
      </c>
      <c r="I169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Pass</t>
        </is>
      </c>
      <c r="I170" s="2" t="inlineStr">
        <is>
          <t>test passes; start() False under TESTING / debug reloader parent / lock held; True if already started; pid written; release nulls fd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Pass</t>
        </is>
      </c>
      <c r="I171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Pass</t>
        </is>
      </c>
      <c r="I172" s="2" t="inlineStr">
        <is>
          <t>test passes; default 30s; reconcile-thread death restarts; restart failure -&gt; False; healthy -&gt; False; loop ticks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Pass</t>
        </is>
      </c>
      <c r="I173" s="2" t="inlineStr">
        <is>
          <t>test passes; loop calls check then flush each tick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Pass</t>
        </is>
      </c>
      <c r="I174" s="2" t="inlineStr">
        <is>
          <t>stop(): health thread joined, watcher.stop+cleared, scheduler.shutdown(wait=False), bot.stop, lock released, _started False; proxies ok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Pass</t>
        </is>
      </c>
      <c r="I175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Pass</t>
        </is>
      </c>
      <c r="I176" s="2" t="inlineStr">
        <is>
          <t>test_int02_idle_without_token: token='' -&gt; loop ran 0.5s with zero get_updates calls (waits on stop event; source waits 10s).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Pass</t>
        </is>
      </c>
      <c r="I177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Pass</t>
        </is>
      </c>
      <c r="I178" s="2" t="inlineStr">
        <is>
          <t>tests/test_review_batch2.py::test_bot_ignores_updates_from_other_chats and ::test_bot_ignores_everything_when_no_chat_configured pass and assert no send/answer for wrong/empty chat.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Pass</t>
        </is>
      </c>
      <c r="I179" s="2" t="inlineStr">
        <is>
          <t>test_int05: 'nope'-&gt;Invalid action, 'approve:x'-&gt;Invalid event id, 'approve:9999'-&gt;Event not found, 'zap:&lt;id&gt;'-&gt;Unknown action; LocalIssue count 0; nothing sent.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Pass</t>
        </is>
      </c>
      <c r="I180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Pass</t>
        </is>
      </c>
      <c r="I181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Pass</t>
        </is>
      </c>
      <c r="I182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Pass</t>
        </is>
      </c>
      <c r="I183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Pass</t>
        </is>
      </c>
      <c r="I184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Pass</t>
        </is>
      </c>
      <c r="I185" s="2" t="inlineStr">
        <is>
          <t>test_int11: after owner reply, discussion contains '[YYYY-MM-DD HH:MM:SS] USER:\nwhy?' and 'ASSISTANT:\nthe answer'; answer sent as reply to user msg; telegram_message_id updated to 777.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Fixed - retest</t>
        </is>
      </c>
      <c r="I186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86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86" s="2" t="inlineStr">
        <is>
          <t>telegram_bot._ask_llm: get_by_key + fallback only when missing; regression test added</t>
        </is>
      </c>
      <c r="L186" s="2" t="inlineStr"/>
      <c r="M186" s="2" t="inlineStr">
        <is>
          <t>2026-08-15</t>
        </is>
      </c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Pass</t>
        </is>
      </c>
      <c r="I187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Pass</t>
        </is>
      </c>
      <c r="I188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Pass</t>
        </is>
      </c>
      <c r="I189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Pass</t>
        </is>
      </c>
      <c r="I190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Pass</t>
        </is>
      </c>
      <c r="I191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Pass</t>
        </is>
      </c>
      <c r="I192" s="2" t="inlineStr">
        <is>
          <t>tests/test_track_a.py::test_nightly_job_pushes_briefing_to_telegram (len&lt;=3900, header, token/chat) and ::test_nightly_job_skips_telegram_when_unconfigured_or_failed pass.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Pass</t>
        </is>
      </c>
      <c r="I193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Pass</t>
        </is>
      </c>
      <c r="I194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194" s="2" t="inlineStr"/>
      <c r="K194" s="2" t="inlineStr"/>
      <c r="L194" s="2" t="inlineStr"/>
      <c r="M194" s="2" t="inlineStr">
        <is>
          <t>2026-08-15</t>
        </is>
      </c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Pass</t>
        </is>
      </c>
      <c r="I195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Pass</t>
        </is>
      </c>
      <c r="I196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Pass</t>
        </is>
      </c>
      <c r="I197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Pass</t>
        </is>
      </c>
      <c r="I198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Pass</t>
        </is>
      </c>
      <c r="I199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Pass</t>
        </is>
      </c>
      <c r="I200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Pass</t>
        </is>
      </c>
      <c r="I201" s="2" t="inlineStr">
        <is>
          <t>test_int27_30_config: SECRET_KEY unset, FLASK_ENV unset -&gt; 'dev-secret-key'; FLASK_ENV=production+TESTING=true -&gt; 'dev-secret-key'.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Pass</t>
        </is>
      </c>
      <c r="I202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Pass</t>
        </is>
      </c>
      <c r="I203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Pass</t>
        </is>
      </c>
      <c r="I204" s="2" t="inlineStr">
        <is>
          <t>dev: sqlite:///./data/docksentinel.db &amp; ./data/runtime.lock; production: sqlite:////data/docksentinel.db &amp; /data/runtime.lock; DATABASE_URL/RUNTIME_LOCK_PATH override honoured.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Pass</t>
        </is>
      </c>
      <c r="I205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Pass</t>
        </is>
      </c>
      <c r="I206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Pass</t>
        </is>
      </c>
      <c r="I207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Pass</t>
        </is>
      </c>
      <c r="I208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Pass</t>
        </is>
      </c>
      <c r="I209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Pass</t>
        </is>
      </c>
      <c r="I210" s="2" t="inlineStr">
        <is>
          <t>tests/test_models.py::test_seed_data_created_once passes: Settings/SentinelState/SchemaVersion counts ==1 after two boots.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Pass</t>
        </is>
      </c>
      <c r="I211" s="2" t="inlineStr">
        <is>
          <t>tests/test_models.py::test_seed_data_created_once passes: ExclusionRule count 4 after two boots; bootstrap.py seeds docksentinel/ollama/portainer/open-webui enabled.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Pass</t>
        </is>
      </c>
      <c r="I212" s="2" t="inlineStr">
        <is>
          <t>tests/test_models.py::test_seed_data_created_once passes: PromptTemplate count 5; bootstrap creates content=default_content, version=1, is_default=True.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Pass</t>
        </is>
      </c>
      <c r="I213" s="2" t="inlineStr">
        <is>
          <t>tests/test_ui_routes.py::test_seed_defaults_refreshes_default_prompt passes: default row content refreshed, customised row keeps content but default_content updated.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Blocked (needs docker/LLM/Telegram)</t>
        </is>
      </c>
      <c r="I214" s="2" t="inlineStr">
        <is>
          <t>Heredoc run: settings w/o keyword_flush_delay_lines -&gt; 5ca5251db402; with -&gt; 8b3f1a2c9d45; fresh/has alembic_version/relative URL -&gt; ''. Full script under /bin/sh with stubbed alembic: legacy -&gt; stamp &lt;rev&gt;, upgrade head, flask; fresh -&gt; upgrade head only. Docker path not run.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Blocked (needs docker/LLM/Telegram)</t>
        </is>
      </c>
      <c r="I215" s="2" t="inlineStr">
        <is>
          <t>Stub run: entrypoint does 'alembic upgrade head' then exec 'python -m flask --app app run --host 0.0.0.0 --port ${APP_PORT:-5000}' (5000 default/8123 set); alembic failure aborts (exit 1). Real alembic upgrade head on temp sqlite -&gt; c3d4e5f6a7b8 (0008, head moved past b2c3d4e5f6a7). Docker not run.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Blocked (needs docker/LLM/Telegram)</t>
        </is>
      </c>
      <c r="I216" s="2" t="inlineStr">
        <is>
          <t>Static Dockerfile check OK: python:3.12-slim; apt curl nodejs npm; npm -g @openai/codex @google/gemini-cli; groupadd/useradd uid/gid 1000 appuser; requirements copied+pip installed before app COPY; chmod +x entrypoint; /data chown appuser; USER appuser; EXPOSE 5000. Not built.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Blocked (needs docker/LLM/Telegram)</t>
        </is>
      </c>
      <c r="I217" s="2" t="inlineStr">
        <is>
          <t>Static: Dockerfile &amp; docker-compose.yml HEALTHCHECK curl -fsS http://localhost:5000/api/health interval 30s timeout 5s start-period 15s retries 3; unraid uses localhost:80. /api/health returns 200 (app/api/health.py; tests/test_api.py, test_security.py pass). docker inspect not run.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Blocked (needs docker/LLM/Telegram)</t>
        </is>
      </c>
      <c r="I218" s="2" t="inlineStr">
        <is>
          <t>Static compose matches: 5050:5000; FLASK_ENV=production; DATABASE_URL=sqlite:////data/docksentinel.db; RUNTIME_LOCK_PATH; START_COORDINATOR=true; DOCKER_HOST unix socket; CLI_BACKENDS_DIR=/app/llm-backends; SECRET_KEY=${SECRET_KEY:?...}; PYTHONUNBUFFERED=1; restart unless-stopped. Not run.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Blocked (needs docker/LLM/Telegram)</t>
        </is>
      </c>
      <c r="I219" s="2" t="inlineStr">
        <is>
          <t>Static: both compose files mount /var/run/docker.sock:/var/run/docker.sock:ro and docksentinel_data:/data with named volume declared. docker inspect not run.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Blocked (needs docker/LLM/Telegram)</t>
        </is>
      </c>
      <c r="I220" s="2" t="inlineStr">
        <is>
          <t>Static: both compose files declare extra_hosts 'host.docker.internal:host-gateway'. getent inside container not run.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Blocked (needs docker/LLM/Telegram)</t>
        </is>
      </c>
      <c r="I221" s="2" t="inlineStr">
        <is>
          <t>Static unraid example: hostname docksentinel; group_add '281'; sysctl net.ipv4.ip_unprivileged_port_start=80; APP_PORT=80, MDNS_ENABLED=true, MDNS_HOSTNAME=docksentinel, MDNS_PORT=80; networks br0 external with ipv4_address placeholder 10.0.0.X; healthcheck port 80. Not deployed.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Pass</t>
        </is>
      </c>
      <c r="I222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Pass</t>
        </is>
      </c>
      <c r="I223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Pass</t>
        </is>
      </c>
      <c r="I224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Pass</t>
        </is>
      </c>
      <c r="I225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Pass</t>
        </is>
      </c>
      <c r="I226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Pass</t>
        </is>
      </c>
      <c r="I227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Pass</t>
        </is>
      </c>
      <c r="I228" s="2" t="inlineStr">
        <is>
          <t>test_int54: GET /api/issues?status=bogus -&gt; 400 {'error':'invalid status'}; valid statuses 200; PATCH {'status':'closed'} -&gt; row closed; PATCH invalid status leaves it closed.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Blocked (needs docker/LLM/Telegram)</t>
        </is>
      </c>
      <c r="I229" s="2" t="inlineStr">
        <is>
          <t>Static: README quick start (export SECRET_KEY=$(openssl rand -hex 32); docker compose up -d --build; http://localhost:5050) matches compose 5050:5000 and SECRET_KEY ${SECRET_KEY:?} requirement. Not run against docker.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Blocked (needs docker/LLM/Telegram)</t>
        </is>
      </c>
      <c r="I230" s="2" t="inlineStr">
        <is>
          <t>Static: README documents BotFather token/chat id, Test Telegram, enable Sentinel, Reject/Approve/Discuss, long-polling no webhook, group privacy-mode note; matches app/api/telegram.py and bot. Test endpoint failure path verified (400); live delivery needs Telegram.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Pass</t>
        </is>
      </c>
      <c r="I231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Pass</t>
        </is>
      </c>
      <c r="I232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Pass</t>
        </is>
      </c>
      <c r="I233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Pass</t>
        </is>
      </c>
      <c r="I234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UX-01</t>
        </is>
      </c>
      <c r="B235" s="2" t="inlineStr">
        <is>
          <t>UI: Cross-cutting</t>
        </is>
      </c>
      <c r="C235" s="2" t="inlineStr">
        <is>
          <t>Timestamp formatting</t>
        </is>
      </c>
      <c r="D235" s="2" t="inlineStr">
        <is>
          <t>As an operator I want timestamps shown as readable local-ish datetimes so I can scan lists.</t>
        </is>
      </c>
      <c r="E235" s="2" t="inlineStr">
        <is>
          <t>All rendered datetimes (events, issues, reports, dashboard) show 'YYYY-MM-DD HH:MM:SS' (or relative) — never Python's default repr with microseconds.</t>
        </is>
      </c>
      <c r="F235" s="2" t="inlineStr">
        <is>
          <t>app/templates/insights.html, issues.html, reports.html, dashboard.html</t>
        </is>
      </c>
      <c r="G235" s="2" t="inlineStr">
        <is>
          <t>Open /insights, /issues?id=N, /reports with seeded rows; inspect time columns.</t>
        </is>
      </c>
      <c r="H235" s="2" t="inlineStr">
        <is>
          <t>Fail</t>
        </is>
      </c>
      <c r="I235" s="2" t="inlineStr">
        <is>
          <t>Events/Issues/Reports/Dashboard show e.g. '2026-08-15 20:30:46.327049'</t>
        </is>
      </c>
      <c r="J235" s="2" t="inlineStr">
        <is>
          <t>Templates print datetime objects directly (str()) → microseconds. Add a Jinja filter `dt` → strftime('%Y-%m-%d %H:%M:%S') and apply everywhere.</t>
        </is>
      </c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UX-02</t>
        </is>
      </c>
      <c r="B236" s="2" t="inlineStr">
        <is>
          <t>UI: Events</t>
        </is>
      </c>
      <c r="C236" s="2" t="inlineStr">
        <is>
          <t>Severity badge for non-analysed rows</t>
        </is>
      </c>
      <c r="D236" s="2" t="inlineStr">
        <is>
          <t>As an operator I don't want a misleading 'noise' badge on rows that never got a classification (llm_error, parse_error, container_event with none).</t>
        </is>
      </c>
      <c r="E236" s="2" t="inlineStr">
        <is>
          <t>Rows whose classification is None show '—' (neutral) instead of defaulting to 'noise'; llm_error/parse_error rows show an error-styled status badge.</t>
        </is>
      </c>
      <c r="F236" s="2" t="inlineStr">
        <is>
          <t>app/templates/insights.html</t>
        </is>
      </c>
      <c r="G236" s="2" t="inlineStr">
        <is>
          <t>Seed an llm_error event; open /insights; check the severity cell.</t>
        </is>
      </c>
      <c r="H236" s="2" t="inlineStr">
        <is>
          <t>Fail</t>
        </is>
      </c>
      <c r="I236" s="2" t="inlineStr">
        <is>
          <t>llm_error row shows 'noise' severity badge; skipped rows show 'noise' + 'skipped' badge (redundant).</t>
        </is>
      </c>
      <c r="J236" s="2" t="inlineStr">
        <is>
          <t>insights.html severity badge falls back to 'noise' when classification is None.</t>
        </is>
      </c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UX-03</t>
        </is>
      </c>
      <c r="B237" s="2" t="inlineStr">
        <is>
          <t>UI: Issues</t>
        </is>
      </c>
      <c r="C237" s="2" t="inlineStr">
        <is>
          <t>Issue body rendering</t>
        </is>
      </c>
      <c r="D237" s="2" t="inlineStr">
        <is>
          <t>As an operator I want the issue body (markdown built by the bot) rendered like reports, not raw '# heading' text.</t>
        </is>
      </c>
      <c r="E237" s="2" t="inlineStr">
        <is>
          <t>Issue detail renders body via markdown_lite (headings, lists, code) inside .prose; discussion transcript keeps monospace.</t>
        </is>
      </c>
      <c r="F237" s="2" t="inlineStr">
        <is>
          <t>app/templates/issues.html, app/web/routes.py issues_page, app/web/markdown_lite.py</t>
        </is>
      </c>
      <c r="G237" s="2" t="inlineStr">
        <is>
          <t>Open /issues?id=1 with a seeded markdown body; headings render as &lt;h1&gt;/&lt;h2&gt;.</t>
        </is>
      </c>
      <c r="H237" s="2" t="inlineStr">
        <is>
          <t>Fail</t>
        </is>
      </c>
      <c r="I237" s="2" t="inlineStr">
        <is>
          <t>Issue body shows raw markdown ('# app OOM killed') in a &lt;pre&gt;.</t>
        </is>
      </c>
      <c r="J237" s="2" t="inlineStr">
        <is>
          <t>issues.html renders issue.body in &lt;pre&gt;; route doesn't call render_markdown.</t>
        </is>
      </c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UX-04</t>
        </is>
      </c>
      <c r="B238" s="2" t="inlineStr">
        <is>
          <t>UI: Dashboard</t>
        </is>
      </c>
      <c r="C238" s="2" t="inlineStr">
        <is>
          <t>First-run checklist LLM criterion</t>
        </is>
      </c>
      <c r="D238" s="2" t="inlineStr">
        <is>
          <t>As a new user I want 'Configure the LLM' ticked only when the LLM has actually been verified.</t>
        </is>
      </c>
      <c r="E238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38" s="2" t="inlineStr">
        <is>
          <t>app/templates/dashboard.html checklist, app/web/routes.py dashboard</t>
        </is>
      </c>
      <c r="G238" s="2" t="inlineStr">
        <is>
          <t>Fresh DB → /dashboard: LLM item should be unticked; after POST /api/settings/test-llm succeeds it ticks.</t>
        </is>
      </c>
      <c r="H238" s="2" t="inlineStr">
        <is>
          <t>Fail</t>
        </is>
      </c>
      <c r="I238" s="2" t="inlineStr">
        <is>
          <t>Pristine DB (api key '', model llama3, default base_url) shows 'Configure the LLM' as done.</t>
        </is>
      </c>
      <c r="J238" s="2" t="inlineStr">
        <is>
          <t>dashboard checklist criterion too weak.</t>
        </is>
      </c>
      <c r="K238" s="2" t="inlineStr"/>
      <c r="L238" s="2" t="inlineStr"/>
      <c r="M238" s="2" t="inlineStr">
        <is>
          <t>2026-08-15</t>
        </is>
      </c>
    </row>
  </sheetData>
  <autoFilter ref="A1:M238"/>
  <dataValidations count="1">
    <dataValidation sqref="H2:H238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COUNTIF(Stories!$H$2:$H$238,A2)</f>
        <v/>
      </c>
      <c r="C2" s="4" t="n"/>
      <c r="D2" s="4" t="n"/>
    </row>
    <row r="3">
      <c r="A3" s="4" t="inlineStr">
        <is>
          <t>Pass</t>
        </is>
      </c>
      <c r="B3" s="4">
        <f>COUNTIF(Stories!$H$2:$H$238,A3)</f>
        <v/>
      </c>
      <c r="C3" s="4" t="n"/>
      <c r="D3" s="4" t="n"/>
    </row>
    <row r="4">
      <c r="A4" s="4" t="inlineStr">
        <is>
          <t>Fail</t>
        </is>
      </c>
      <c r="B4" s="4">
        <f>COUNTIF(Stories!$H$2:$H$238,A4)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COUNTIF(Stories!$H$2:$H$238,A5)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COUNTIF(Stories!$H$2:$H$238,A6)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COUNTIF(Stories!$H$2:$H$238,A7)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COUNTIF(Stories!$H$2:$H$238,A8)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COUNTA(Stories!$A$2:$A$238)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COUNTIF(Stories!$B$2:$B$238,A14)</f>
        <v/>
      </c>
      <c r="C14" s="4">
        <f>COUNTIFS(Stories!$B$2:$B$238,A14,Stories!$H$2:$H$238,"Pass")+COUNTIFS(Stories!$B$2:$B$238,A14,Stories!$H$2:$H$238,"Pass (after fix)")</f>
        <v/>
      </c>
      <c r="D14" s="4">
        <f>COUNTIFS(Stories!$B$2:$B$238,A14,Stories!$H$2:$H$238,"Fail")</f>
        <v/>
      </c>
    </row>
    <row r="15">
      <c r="A15" s="4" t="inlineStr">
        <is>
          <t>API: Exclusions</t>
        </is>
      </c>
      <c r="B15" s="4">
        <f>COUNTIF(Stories!$B$2:$B$238,A15)</f>
        <v/>
      </c>
      <c r="C15" s="4">
        <f>COUNTIFS(Stories!$B$2:$B$238,A15,Stories!$H$2:$H$238,"Pass")+COUNTIFS(Stories!$B$2:$B$238,A15,Stories!$H$2:$H$238,"Pass (after fix)")</f>
        <v/>
      </c>
      <c r="D15" s="4">
        <f>COUNTIFS(Stories!$B$2:$B$238,A15,Stories!$H$2:$H$238,"Fail")</f>
        <v/>
      </c>
    </row>
    <row r="16">
      <c r="A16" s="4" t="inlineStr">
        <is>
          <t>API: General</t>
        </is>
      </c>
      <c r="B16" s="4">
        <f>COUNTIF(Stories!$B$2:$B$238,A16)</f>
        <v/>
      </c>
      <c r="C16" s="4">
        <f>COUNTIFS(Stories!$B$2:$B$238,A16,Stories!$H$2:$H$238,"Pass")+COUNTIFS(Stories!$B$2:$B$238,A16,Stories!$H$2:$H$238,"Pass (after fix)")</f>
        <v/>
      </c>
      <c r="D16" s="4">
        <f>COUNTIFS(Stories!$B$2:$B$238,A16,Stories!$H$2:$H$238,"Fail")</f>
        <v/>
      </c>
    </row>
    <row r="17">
      <c r="A17" s="4" t="inlineStr">
        <is>
          <t>API: Health</t>
        </is>
      </c>
      <c r="B17" s="4">
        <f>COUNTIF(Stories!$B$2:$B$238,A17)</f>
        <v/>
      </c>
      <c r="C17" s="4">
        <f>COUNTIFS(Stories!$B$2:$B$238,A17,Stories!$H$2:$H$238,"Pass")+COUNTIFS(Stories!$B$2:$B$238,A17,Stories!$H$2:$H$238,"Pass (after fix)")</f>
        <v/>
      </c>
      <c r="D17" s="4">
        <f>COUNTIFS(Stories!$B$2:$B$238,A17,Stories!$H$2:$H$238,"Fail")</f>
        <v/>
      </c>
    </row>
    <row r="18">
      <c r="A18" s="4" t="inlineStr">
        <is>
          <t>API: Insights</t>
        </is>
      </c>
      <c r="B18" s="4">
        <f>COUNTIF(Stories!$B$2:$B$238,A18)</f>
        <v/>
      </c>
      <c r="C18" s="4">
        <f>COUNTIFS(Stories!$B$2:$B$238,A18,Stories!$H$2:$H$238,"Pass")+COUNTIFS(Stories!$B$2:$B$238,A18,Stories!$H$2:$H$238,"Pass (after fix)")</f>
        <v/>
      </c>
      <c r="D18" s="4">
        <f>COUNTIFS(Stories!$B$2:$B$238,A18,Stories!$H$2:$H$238,"Fail")</f>
        <v/>
      </c>
    </row>
    <row r="19">
      <c r="A19" s="4" t="inlineStr">
        <is>
          <t>API: Issues</t>
        </is>
      </c>
      <c r="B19" s="4">
        <f>COUNTIF(Stories!$B$2:$B$238,A19)</f>
        <v/>
      </c>
      <c r="C19" s="4">
        <f>COUNTIFS(Stories!$B$2:$B$238,A19,Stories!$H$2:$H$238,"Pass")+COUNTIFS(Stories!$B$2:$B$238,A19,Stories!$H$2:$H$238,"Pass (after fix)")</f>
        <v/>
      </c>
      <c r="D19" s="4">
        <f>COUNTIFS(Stories!$B$2:$B$238,A19,Stories!$H$2:$H$238,"Fail")</f>
        <v/>
      </c>
    </row>
    <row r="20">
      <c r="A20" s="4" t="inlineStr">
        <is>
          <t>API: Ollama</t>
        </is>
      </c>
      <c r="B20" s="4">
        <f>COUNTIF(Stories!$B$2:$B$238,A20)</f>
        <v/>
      </c>
      <c r="C20" s="4">
        <f>COUNTIFS(Stories!$B$2:$B$238,A20,Stories!$H$2:$H$238,"Pass")+COUNTIFS(Stories!$B$2:$B$238,A20,Stories!$H$2:$H$238,"Pass (after fix)")</f>
        <v/>
      </c>
      <c r="D20" s="4">
        <f>COUNTIFS(Stories!$B$2:$B$238,A20,Stories!$H$2:$H$238,"Fail")</f>
        <v/>
      </c>
    </row>
    <row r="21">
      <c r="A21" s="4" t="inlineStr">
        <is>
          <t>API: Prompts</t>
        </is>
      </c>
      <c r="B21" s="4">
        <f>COUNTIF(Stories!$B$2:$B$238,A21)</f>
        <v/>
      </c>
      <c r="C21" s="4">
        <f>COUNTIFS(Stories!$B$2:$B$238,A21,Stories!$H$2:$H$238,"Pass")+COUNTIFS(Stories!$B$2:$B$238,A21,Stories!$H$2:$H$238,"Pass (after fix)")</f>
        <v/>
      </c>
      <c r="D21" s="4">
        <f>COUNTIFS(Stories!$B$2:$B$238,A21,Stories!$H$2:$H$238,"Fail")</f>
        <v/>
      </c>
    </row>
    <row r="22">
      <c r="A22" s="4" t="inlineStr">
        <is>
          <t>API: Reports</t>
        </is>
      </c>
      <c r="B22" s="4">
        <f>COUNTIF(Stories!$B$2:$B$238,A22)</f>
        <v/>
      </c>
      <c r="C22" s="4">
        <f>COUNTIFS(Stories!$B$2:$B$238,A22,Stories!$H$2:$H$238,"Pass")+COUNTIFS(Stories!$B$2:$B$238,A22,Stories!$H$2:$H$238,"Pass (after fix)")</f>
        <v/>
      </c>
      <c r="D22" s="4">
        <f>COUNTIFS(Stories!$B$2:$B$238,A22,Stories!$H$2:$H$238,"Fail")</f>
        <v/>
      </c>
    </row>
    <row r="23">
      <c r="A23" s="4" t="inlineStr">
        <is>
          <t>API: Security</t>
        </is>
      </c>
      <c r="B23" s="4">
        <f>COUNTIF(Stories!$B$2:$B$238,A23)</f>
        <v/>
      </c>
      <c r="C23" s="4">
        <f>COUNTIFS(Stories!$B$2:$B$238,A23,Stories!$H$2:$H$238,"Pass")+COUNTIFS(Stories!$B$2:$B$238,A23,Stories!$H$2:$H$238,"Pass (after fix)")</f>
        <v/>
      </c>
      <c r="D23" s="4">
        <f>COUNTIFS(Stories!$B$2:$B$238,A23,Stories!$H$2:$H$238,"Fail")</f>
        <v/>
      </c>
    </row>
    <row r="24">
      <c r="A24" s="4" t="inlineStr">
        <is>
          <t>API: Sentinel</t>
        </is>
      </c>
      <c r="B24" s="4">
        <f>COUNTIF(Stories!$B$2:$B$238,A24)</f>
        <v/>
      </c>
      <c r="C24" s="4">
        <f>COUNTIFS(Stories!$B$2:$B$238,A24,Stories!$H$2:$H$238,"Pass")+COUNTIFS(Stories!$B$2:$B$238,A24,Stories!$H$2:$H$238,"Pass (after fix)")</f>
        <v/>
      </c>
      <c r="D24" s="4">
        <f>COUNTIFS(Stories!$B$2:$B$238,A24,Stories!$H$2:$H$238,"Fail")</f>
        <v/>
      </c>
    </row>
    <row r="25">
      <c r="A25" s="4" t="inlineStr">
        <is>
          <t>API: Settings</t>
        </is>
      </c>
      <c r="B25" s="4">
        <f>COUNTIF(Stories!$B$2:$B$238,A25)</f>
        <v/>
      </c>
      <c r="C25" s="4">
        <f>COUNTIFS(Stories!$B$2:$B$238,A25,Stories!$H$2:$H$238,"Pass")+COUNTIFS(Stories!$B$2:$B$238,A25,Stories!$H$2:$H$238,"Pass (after fix)")</f>
        <v/>
      </c>
      <c r="D25" s="4">
        <f>COUNTIFS(Stories!$B$2:$B$238,A25,Stories!$H$2:$H$238,"Fail")</f>
        <v/>
      </c>
    </row>
    <row r="26">
      <c r="A26" s="4" t="inlineStr">
        <is>
          <t>API: Telegram</t>
        </is>
      </c>
      <c r="B26" s="4">
        <f>COUNTIF(Stories!$B$2:$B$238,A26)</f>
        <v/>
      </c>
      <c r="C26" s="4">
        <f>COUNTIFS(Stories!$B$2:$B$238,A26,Stories!$H$2:$H$238,"Pass")+COUNTIFS(Stories!$B$2:$B$238,A26,Stories!$H$2:$H$238,"Pass (after fix)")</f>
        <v/>
      </c>
      <c r="D26" s="4">
        <f>COUNTIFS(Stories!$B$2:$B$238,A26,Stories!$H$2:$H$238,"Fail")</f>
        <v/>
      </c>
    </row>
    <row r="27">
      <c r="A27" s="4" t="inlineStr">
        <is>
          <t>Config: Bootstrap</t>
        </is>
      </c>
      <c r="B27" s="4">
        <f>COUNTIF(Stories!$B$2:$B$238,A27)</f>
        <v/>
      </c>
      <c r="C27" s="4">
        <f>COUNTIFS(Stories!$B$2:$B$238,A27,Stories!$H$2:$H$238,"Pass")+COUNTIFS(Stories!$B$2:$B$238,A27,Stories!$H$2:$H$238,"Pass (after fix)")</f>
        <v/>
      </c>
      <c r="D27" s="4">
        <f>COUNTIFS(Stories!$B$2:$B$238,A27,Stories!$H$2:$H$238,"Fail")</f>
        <v/>
      </c>
    </row>
    <row r="28">
      <c r="A28" s="4" t="inlineStr">
        <is>
          <t>Config: Env</t>
        </is>
      </c>
      <c r="B28" s="4">
        <f>COUNTIF(Stories!$B$2:$B$238,A28)</f>
        <v/>
      </c>
      <c r="C28" s="4">
        <f>COUNTIFS(Stories!$B$2:$B$238,A28,Stories!$H$2:$H$238,"Pass")+COUNTIFS(Stories!$B$2:$B$238,A28,Stories!$H$2:$H$238,"Pass (after fix)")</f>
        <v/>
      </c>
      <c r="D28" s="4">
        <f>COUNTIFS(Stories!$B$2:$B$238,A28,Stories!$H$2:$H$238,"Fail")</f>
        <v/>
      </c>
    </row>
    <row r="29">
      <c r="A29" s="4" t="inlineStr">
        <is>
          <t>Integration: CLI backends</t>
        </is>
      </c>
      <c r="B29" s="4">
        <f>COUNTIF(Stories!$B$2:$B$238,A29)</f>
        <v/>
      </c>
      <c r="C29" s="4">
        <f>COUNTIFS(Stories!$B$2:$B$238,A29,Stories!$H$2:$H$238,"Pass")+COUNTIFS(Stories!$B$2:$B$238,A29,Stories!$H$2:$H$238,"Pass (after fix)")</f>
        <v/>
      </c>
      <c r="D29" s="4">
        <f>COUNTIFS(Stories!$B$2:$B$238,A29,Stories!$H$2:$H$238,"Fail")</f>
        <v/>
      </c>
    </row>
    <row r="30">
      <c r="A30" s="4" t="inlineStr">
        <is>
          <t>Integration: Telegram bot</t>
        </is>
      </c>
      <c r="B30" s="4">
        <f>COUNTIF(Stories!$B$2:$B$238,A30)</f>
        <v/>
      </c>
      <c r="C30" s="4">
        <f>COUNTIFS(Stories!$B$2:$B$238,A30,Stories!$H$2:$H$238,"Pass")+COUNTIFS(Stories!$B$2:$B$238,A30,Stories!$H$2:$H$238,"Pass (after fix)")</f>
        <v/>
      </c>
      <c r="D30" s="4">
        <f>COUNTIFS(Stories!$B$2:$B$238,A30,Stories!$H$2:$H$238,"Fail")</f>
        <v/>
      </c>
    </row>
    <row r="31">
      <c r="A31" s="4" t="inlineStr">
        <is>
          <t>Integration: Telegram notify</t>
        </is>
      </c>
      <c r="B31" s="4">
        <f>COUNTIF(Stories!$B$2:$B$238,A31)</f>
        <v/>
      </c>
      <c r="C31" s="4">
        <f>COUNTIFS(Stories!$B$2:$B$238,A31,Stories!$H$2:$H$238,"Pass")+COUNTIFS(Stories!$B$2:$B$238,A31,Stories!$H$2:$H$238,"Pass (after fix)")</f>
        <v/>
      </c>
      <c r="D31" s="4">
        <f>COUNTIFS(Stories!$B$2:$B$238,A31,Stories!$H$2:$H$238,"Fail")</f>
        <v/>
      </c>
    </row>
    <row r="32">
      <c r="A32" s="4" t="inlineStr">
        <is>
          <t>Ops: Docker</t>
        </is>
      </c>
      <c r="B32" s="4">
        <f>COUNTIF(Stories!$B$2:$B$238,A32)</f>
        <v/>
      </c>
      <c r="C32" s="4">
        <f>COUNTIFS(Stories!$B$2:$B$238,A32,Stories!$H$2:$H$238,"Pass")+COUNTIFS(Stories!$B$2:$B$238,A32,Stories!$H$2:$H$238,"Pass (after fix)")</f>
        <v/>
      </c>
      <c r="D32" s="4">
        <f>COUNTIFS(Stories!$B$2:$B$238,A32,Stories!$H$2:$H$238,"Fail")</f>
        <v/>
      </c>
    </row>
    <row r="33">
      <c r="A33" s="4" t="inlineStr">
        <is>
          <t>Ops: Migrations</t>
        </is>
      </c>
      <c r="B33" s="4">
        <f>COUNTIF(Stories!$B$2:$B$238,A33)</f>
        <v/>
      </c>
      <c r="C33" s="4">
        <f>COUNTIFS(Stories!$B$2:$B$238,A33,Stories!$H$2:$H$238,"Pass")+COUNTIFS(Stories!$B$2:$B$238,A33,Stories!$H$2:$H$238,"Pass (after fix)")</f>
        <v/>
      </c>
      <c r="D33" s="4">
        <f>COUNTIFS(Stories!$B$2:$B$238,A33,Stories!$H$2:$H$238,"Fail")</f>
        <v/>
      </c>
    </row>
    <row r="34">
      <c r="A34" s="4" t="inlineStr">
        <is>
          <t>Ops: Onboarding</t>
        </is>
      </c>
      <c r="B34" s="4">
        <f>COUNTIF(Stories!$B$2:$B$238,A34)</f>
        <v/>
      </c>
      <c r="C34" s="4">
        <f>COUNTIFS(Stories!$B$2:$B$238,A34,Stories!$H$2:$H$238,"Pass")+COUNTIFS(Stories!$B$2:$B$238,A34,Stories!$H$2:$H$238,"Pass (after fix)")</f>
        <v/>
      </c>
      <c r="D34" s="4">
        <f>COUNTIFS(Stories!$B$2:$B$238,A34,Stories!$H$2:$H$238,"Fail")</f>
        <v/>
      </c>
    </row>
    <row r="35">
      <c r="A35" s="4" t="inlineStr">
        <is>
          <t>Pipeline: Alerts</t>
        </is>
      </c>
      <c r="B35" s="4">
        <f>COUNTIF(Stories!$B$2:$B$238,A35)</f>
        <v/>
      </c>
      <c r="C35" s="4">
        <f>COUNTIFS(Stories!$B$2:$B$238,A35,Stories!$H$2:$H$238,"Pass")+COUNTIFS(Stories!$B$2:$B$238,A35,Stories!$H$2:$H$238,"Pass (after fix)")</f>
        <v/>
      </c>
      <c r="D35" s="4">
        <f>COUNTIFS(Stories!$B$2:$B$238,A35,Stories!$H$2:$H$238,"Fail")</f>
        <v/>
      </c>
    </row>
    <row r="36">
      <c r="A36" s="4" t="inlineStr">
        <is>
          <t>Pipeline: Buffer</t>
        </is>
      </c>
      <c r="B36" s="4">
        <f>COUNTIF(Stories!$B$2:$B$238,A36)</f>
        <v/>
      </c>
      <c r="C36" s="4">
        <f>COUNTIFS(Stories!$B$2:$B$238,A36,Stories!$H$2:$H$238,"Pass")+COUNTIFS(Stories!$B$2:$B$238,A36,Stories!$H$2:$H$238,"Pass (after fix)")</f>
        <v/>
      </c>
      <c r="D36" s="4">
        <f>COUNTIFS(Stories!$B$2:$B$238,A36,Stories!$H$2:$H$238,"Fail")</f>
        <v/>
      </c>
    </row>
    <row r="37">
      <c r="A37" s="4" t="inlineStr">
        <is>
          <t>Pipeline: LLM</t>
        </is>
      </c>
      <c r="B37" s="4">
        <f>COUNTIF(Stories!$B$2:$B$238,A37)</f>
        <v/>
      </c>
      <c r="C37" s="4">
        <f>COUNTIFS(Stories!$B$2:$B$238,A37,Stories!$H$2:$H$238,"Pass")+COUNTIFS(Stories!$B$2:$B$238,A37,Stories!$H$2:$H$238,"Pass (after fix)")</f>
        <v/>
      </c>
      <c r="D37" s="4">
        <f>COUNTIFS(Stories!$B$2:$B$238,A37,Stories!$H$2:$H$238,"Fail")</f>
        <v/>
      </c>
    </row>
    <row r="38">
      <c r="A38" s="4" t="inlineStr">
        <is>
          <t>Pipeline: Prefilter</t>
        </is>
      </c>
      <c r="B38" s="4">
        <f>COUNTIF(Stories!$B$2:$B$238,A38)</f>
        <v/>
      </c>
      <c r="C38" s="4">
        <f>COUNTIFS(Stories!$B$2:$B$238,A38,Stories!$H$2:$H$238,"Pass")+COUNTIFS(Stories!$B$2:$B$238,A38,Stories!$H$2:$H$238,"Pass (after fix)")</f>
        <v/>
      </c>
      <c r="D38" s="4">
        <f>COUNTIFS(Stories!$B$2:$B$238,A38,Stories!$H$2:$H$238,"Fail")</f>
        <v/>
      </c>
    </row>
    <row r="39">
      <c r="A39" s="4" t="inlineStr">
        <is>
          <t>Pipeline: Scheduler</t>
        </is>
      </c>
      <c r="B39" s="4">
        <f>COUNTIF(Stories!$B$2:$B$238,A39)</f>
        <v/>
      </c>
      <c r="C39" s="4">
        <f>COUNTIFS(Stories!$B$2:$B$238,A39,Stories!$H$2:$H$238,"Pass")+COUNTIFS(Stories!$B$2:$B$238,A39,Stories!$H$2:$H$238,"Pass (after fix)")</f>
        <v/>
      </c>
      <c r="D39" s="4">
        <f>COUNTIFS(Stories!$B$2:$B$238,A39,Stories!$H$2:$H$238,"Fail")</f>
        <v/>
      </c>
    </row>
    <row r="40">
      <c r="A40" s="4" t="inlineStr">
        <is>
          <t>Pipeline: Triage</t>
        </is>
      </c>
      <c r="B40" s="4">
        <f>COUNTIF(Stories!$B$2:$B$238,A40)</f>
        <v/>
      </c>
      <c r="C40" s="4">
        <f>COUNTIFS(Stories!$B$2:$B$238,A40,Stories!$H$2:$H$238,"Pass")+COUNTIFS(Stories!$B$2:$B$238,A40,Stories!$H$2:$H$238,"Pass (after fix)")</f>
        <v/>
      </c>
      <c r="D40" s="4">
        <f>COUNTIFS(Stories!$B$2:$B$238,A40,Stories!$H$2:$H$238,"Fail")</f>
        <v/>
      </c>
    </row>
    <row r="41">
      <c r="A41" s="4" t="inlineStr">
        <is>
          <t>Pipeline: Watcher</t>
        </is>
      </c>
      <c r="B41" s="4">
        <f>COUNTIF(Stories!$B$2:$B$238,A41)</f>
        <v/>
      </c>
      <c r="C41" s="4">
        <f>COUNTIFS(Stories!$B$2:$B$238,A41,Stories!$H$2:$H$238,"Pass")+COUNTIFS(Stories!$B$2:$B$238,A41,Stories!$H$2:$H$238,"Pass (after fix)")</f>
        <v/>
      </c>
      <c r="D41" s="4">
        <f>COUNTIFS(Stories!$B$2:$B$238,A41,Stories!$H$2:$H$238,"Fail")</f>
        <v/>
      </c>
    </row>
    <row r="42">
      <c r="A42" s="4" t="inlineStr">
        <is>
          <t>UI: Cross-cutting</t>
        </is>
      </c>
      <c r="B42" s="4">
        <f>COUNTIF(Stories!$B$2:$B$238,A42)</f>
        <v/>
      </c>
      <c r="C42" s="4">
        <f>COUNTIFS(Stories!$B$2:$B$238,A42,Stories!$H$2:$H$238,"Pass")+COUNTIFS(Stories!$B$2:$B$238,A42,Stories!$H$2:$H$238,"Pass (after fix)")</f>
        <v/>
      </c>
      <c r="D42" s="4">
        <f>COUNTIFS(Stories!$B$2:$B$238,A42,Stories!$H$2:$H$238,"Fail")</f>
        <v/>
      </c>
    </row>
    <row r="43">
      <c r="A43" s="4" t="inlineStr">
        <is>
          <t>UI: Dashboard</t>
        </is>
      </c>
      <c r="B43" s="4">
        <f>COUNTIF(Stories!$B$2:$B$238,A43)</f>
        <v/>
      </c>
      <c r="C43" s="4">
        <f>COUNTIFS(Stories!$B$2:$B$238,A43,Stories!$H$2:$H$238,"Pass")+COUNTIFS(Stories!$B$2:$B$238,A43,Stories!$H$2:$H$238,"Pass (after fix)")</f>
        <v/>
      </c>
      <c r="D43" s="4">
        <f>COUNTIFS(Stories!$B$2:$B$238,A43,Stories!$H$2:$H$238,"Fail")</f>
        <v/>
      </c>
    </row>
    <row r="44">
      <c r="A44" s="4" t="inlineStr">
        <is>
          <t>UI: Events</t>
        </is>
      </c>
      <c r="B44" s="4">
        <f>COUNTIF(Stories!$B$2:$B$238,A44)</f>
        <v/>
      </c>
      <c r="C44" s="4">
        <f>COUNTIFS(Stories!$B$2:$B$238,A44,Stories!$H$2:$H$238,"Pass")+COUNTIFS(Stories!$B$2:$B$238,A44,Stories!$H$2:$H$238,"Pass (after fix)")</f>
        <v/>
      </c>
      <c r="D44" s="4">
        <f>COUNTIFS(Stories!$B$2:$B$238,A44,Stories!$H$2:$H$238,"Fail")</f>
        <v/>
      </c>
    </row>
    <row r="45">
      <c r="A45" s="4" t="inlineStr">
        <is>
          <t>UI: Exclusions</t>
        </is>
      </c>
      <c r="B45" s="4">
        <f>COUNTIF(Stories!$B$2:$B$238,A45)</f>
        <v/>
      </c>
      <c r="C45" s="4">
        <f>COUNTIFS(Stories!$B$2:$B$238,A45,Stories!$H$2:$H$238,"Pass")+COUNTIFS(Stories!$B$2:$B$238,A45,Stories!$H$2:$H$238,"Pass (after fix)")</f>
        <v/>
      </c>
      <c r="D45" s="4">
        <f>COUNTIFS(Stories!$B$2:$B$238,A45,Stories!$H$2:$H$238,"Fail")</f>
        <v/>
      </c>
    </row>
    <row r="46">
      <c r="A46" s="4" t="inlineStr">
        <is>
          <t>UI: Issues</t>
        </is>
      </c>
      <c r="B46" s="4">
        <f>COUNTIF(Stories!$B$2:$B$238,A46)</f>
        <v/>
      </c>
      <c r="C46" s="4">
        <f>COUNTIFS(Stories!$B$2:$B$238,A46,Stories!$H$2:$H$238,"Pass")+COUNTIFS(Stories!$B$2:$B$238,A46,Stories!$H$2:$H$238,"Pass (after fix)")</f>
        <v/>
      </c>
      <c r="D46" s="4">
        <f>COUNTIFS(Stories!$B$2:$B$238,A46,Stories!$H$2:$H$238,"Fail")</f>
        <v/>
      </c>
    </row>
    <row r="47">
      <c r="A47" s="4" t="inlineStr">
        <is>
          <t>UI: Prompts</t>
        </is>
      </c>
      <c r="B47" s="4">
        <f>COUNTIF(Stories!$B$2:$B$238,A47)</f>
        <v/>
      </c>
      <c r="C47" s="4">
        <f>COUNTIFS(Stories!$B$2:$B$238,A47,Stories!$H$2:$H$238,"Pass")+COUNTIFS(Stories!$B$2:$B$238,A47,Stories!$H$2:$H$238,"Pass (after fix)")</f>
        <v/>
      </c>
      <c r="D47" s="4">
        <f>COUNTIFS(Stories!$B$2:$B$238,A47,Stories!$H$2:$H$238,"Fail")</f>
        <v/>
      </c>
    </row>
    <row r="48">
      <c r="A48" s="4" t="inlineStr">
        <is>
          <t>UI: Reports</t>
        </is>
      </c>
      <c r="B48" s="4">
        <f>COUNTIF(Stories!$B$2:$B$238,A48)</f>
        <v/>
      </c>
      <c r="C48" s="4">
        <f>COUNTIFS(Stories!$B$2:$B$238,A48,Stories!$H$2:$H$238,"Pass")+COUNTIFS(Stories!$B$2:$B$238,A48,Stories!$H$2:$H$238,"Pass (after fix)")</f>
        <v/>
      </c>
      <c r="D48" s="4">
        <f>COUNTIFS(Stories!$B$2:$B$238,A48,Stories!$H$2:$H$238,"Fail")</f>
        <v/>
      </c>
    </row>
    <row r="49">
      <c r="A49" s="4" t="inlineStr">
        <is>
          <t>UI: Settings</t>
        </is>
      </c>
      <c r="B49" s="4">
        <f>COUNTIF(Stories!$B$2:$B$238,A49)</f>
        <v/>
      </c>
      <c r="C49" s="4">
        <f>COUNTIFS(Stories!$B$2:$B$238,A49,Stories!$H$2:$H$238,"Pass")+COUNTIFS(Stories!$B$2:$B$238,A49,Stories!$H$2:$H$238,"Pass (after fix)")</f>
        <v/>
      </c>
      <c r="D49" s="4">
        <f>COUNTIFS(Stories!$B$2:$B$238,A49,Stories!$H$2:$H$238,"Fail")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2026-08-15T20:35:04Z</dcterms:created>
  <dcterms:modified xsi:type="dcterms:W3CDTF">2026-08-15T20:41:13Z</dcterms:modified>
</cp:coreProperties>
</file>