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Pass</t>
        </is>
      </c>
      <c r="I50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Pass</t>
        </is>
      </c>
      <c r="I51" s="2" t="inlineStr">
        <is>
          <t>POST /api/sentinel/toggle with Origin: http://evil.example -&gt; 403, Flask default HTML body containing 'cross-site request rejected'.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Pass</t>
        </is>
      </c>
      <c r="I52" s="2" t="inlineStr">
        <is>
          <t>POST with Origin: null -&gt; 403.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Pass</t>
        </is>
      </c>
      <c r="I53" s="2" t="inlineStr">
        <is>
          <t>POST toggle with Origin: http://127.0.0.1:5001 -&gt; 200 {state:{enabled:false,...}} (guard passed, handler ran).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Pass</t>
        </is>
      </c>
      <c r="I54" s="2" t="inlineStr">
        <is>
          <t>No Origin + Referer http://evil.example/page -&gt; 403; Referer http://127.0.0.1:5001/page -&gt; 200.</t>
        </is>
      </c>
      <c r="J54" s="2" t="inlineStr"/>
      <c r="K54" s="2" t="inlineStr"/>
      <c r="L54" s="2" t="inlineStr"/>
      <c r="M54" s="2" t="inlineStr">
        <is>
          <t>2026-08-15</t>
        </is>
      </c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Pass</t>
        </is>
      </c>
      <c r="I55" s="2" t="inlineStr">
        <is>
          <t>Origin https://public.example + X-Forwarded-Host public.example -&gt; 200 {state:...}.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Pass</t>
        </is>
      </c>
      <c r="I56" s="2" t="inlineStr">
        <is>
          <t>GET /api/settings with Origin: http://evil.example -&gt; 200.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Pass</t>
        </is>
      </c>
      <c r="I57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Pass</t>
        </is>
      </c>
      <c r="I58" s="2" t="inlineStr">
        <is>
          <t>On :5002 with basic auth enabled, GET /api/health without Authorization -&gt; 200 {status:'ok',runtime:{...}}.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Pass</t>
        </is>
      </c>
      <c r="I59" s="2" t="inlineStr">
        <is>
          <t>PUT /api/settings {nightly_hour:99} -&gt; 400 {"error":"Input should be less than or equal to 23"}; value not echoed.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Pass</t>
        </is>
      </c>
      <c r="I60" s="2" t="inlineStr">
        <is>
          <t>GET /api/settings -&gt; 200 with 32 fields incl. llm_base_url,llm_model,nightly_hour,...,updated_at; llm_api_key '********' when set, '' after cleared; telegram_token null when unset.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Pass</t>
        </is>
      </c>
      <c r="I61" s="2" t="inlineStr">
        <is>
          <t>PUT {nightly_hour:7,nightly_minute:30} -&gt; 200 full masked schema with nightly_hour 7, nightly_minute 30; other fields unchanged; updated_at bumped.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Pass</t>
        </is>
      </c>
      <c r="I62" s="2" t="inlineStr">
        <is>
          <t>Set llm_api_key sk-test then PUT '********', '', '   ' -&gt; each 200 and llm_api_key still '********' (secret retained).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Pass</t>
        </is>
      </c>
      <c r="I63" s="2" t="inlineStr">
        <is>
          <t>PUT {telegram_token:'123:abc'} -&gt; 200, response telegram_token '********'.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Pass</t>
        </is>
      </c>
      <c r="I64" s="2" t="inlineStr">
        <is>
          <t>PUT {llm_api_key:null} -&gt; 200 llm_api_key ''; subsequent GET also '' (cleared, not masked).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Pass</t>
        </is>
      </c>
      <c r="I65" s="2" t="inlineStr">
        <is>
          <t>PUT {bogus:1} -&gt; 400 {"error":"Extra inputs are not permitted"}.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Pass</t>
        </is>
      </c>
      <c r="I66" s="2" t="inlineStr">
        <is>
          <t>PUT {id:5} -&gt; 400 Extra inputs not permitted; PUT {updated_at:...} -&gt; 400 same.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Pass</t>
        </is>
      </c>
      <c r="I67" s="2" t="inlineStr">
        <is>
          <t>nightly_minute 60 -&gt; 400 'Input should be less than or equal to 59'; nightly_hour -1 -&gt; 400 'greater than or equal to 0'; 99 -&gt; 400.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Pass</t>
        </is>
      </c>
      <c r="I68" s="2" t="inlineStr">
        <is>
          <t>All 10 ge=1 fields set to 0 -&gt; 400 {"error":"Input should be greater than or equal to 1"} each.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Pass</t>
        </is>
      </c>
      <c r="I69" s="2" t="inlineStr">
        <is>
          <t>All 8 ge=0 fields: -1 -&gt; 400 'greater than or equal to 0'; 0 -&gt; 200 each.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Pass</t>
        </is>
      </c>
      <c r="I70" s="2" t="inlineStr">
        <is>
          <t>alert_min_classification 'severe' -&gt; 400 {"error":"Input should be 'noise', 'warning' or 'critical'"}; 'warning' -&gt; 200.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Pass</t>
        </is>
      </c>
      <c r="I71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Blocked (needs docker/LLM/Telegram)</t>
        </is>
      </c>
      <c r="I72" s="2" t="inlineStr">
        <is>
          <t>No reachable LLM. POST /api/settings/test-llm -&gt; 400 {"ok":false,"error":"[Errno 8] nodename nor servname provided, or not known"} (fallback passes). Success path unverified.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Pass</t>
        </is>
      </c>
      <c r="I73" s="2" t="inlineStr">
        <is>
          <t>GET /api/exclusions -&gt; 200 {items:[{id,container_pattern,enabled,created_at,updated_at}...]} (4 seeded rules).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Pass</t>
        </is>
      </c>
      <c r="I74" s="2" t="inlineStr">
        <is>
          <t>POST {container_pattern:'  test-*  '} -&gt; 201 {container_pattern:'test-*',enabled:true,id,created_at,updated_at}.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Pass</t>
        </is>
      </c>
      <c r="I75" s="2" t="inlineStr">
        <is>
          <t>POST 'dup-x' twice: first 201 id 6, second 200 same id 6; list shows exactly one dup-x row.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Pass</t>
        </is>
      </c>
      <c r="I76" s="2" t="inlineStr">
        <is>
          <t>'   ' -&gt; 400 'String should have at least 1 character'; {} -&gt; 400 'Field required'; enabled:'maybe' -&gt; 400 'Input should be a valid boolean...'.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Pass</t>
        </is>
      </c>
      <c r="I77" s="2" t="inlineStr">
        <is>
          <t>DELETE /api/exclusions/999999 -&gt; 404 {"error":"rule not found"}; /abc -&gt; 404; deleting real ids 5,6 -&gt; 200 {"deleted":true}.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Pass</t>
        </is>
      </c>
      <c r="I78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Pass</t>
        </is>
      </c>
      <c r="I79" s="2" t="inlineStr">
        <is>
          <t>PUT /api/prompts/JSON_OUTPUT_GUARD {content:'  custom prompt  '} -&gt; 200 content 'custom prompt' (stripped), version 1-&gt;2, is_default false.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Pass</t>
        </is>
      </c>
      <c r="I80" s="2" t="inlineStr">
        <is>
          <t>{content:'  '} on unknown key -&gt; 400 'String should have at least 1 character' (validation before lookup); {} -&gt; 400 'Field required'; '' -&gt; 400.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Pass</t>
        </is>
      </c>
      <c r="I81" s="2" t="inlineStr">
        <is>
          <t>PUT /api/prompts/nope {content:'x'} -&gt; 404 {"error":"prompt not found"}.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Pass</t>
        </is>
      </c>
      <c r="I82" s="2" t="inlineStr">
        <is>
          <t>POST /api/prompts/JSON_OUTPUT_GUARD/reset -&gt; 200 content==default_content, is_default true, version 2-&gt;3; /nope/reset -&gt; 404 {"error":"prompt not found"}.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Pass</t>
        </is>
      </c>
      <c r="I83" s="2" t="inlineStr">
        <is>
          <t>GET /api/sentinel/status -&gt; 200 {state:{enabled,runtime_status,started_at,last_error,llm_failure_count,llm_last_failure_at,updated_at}, active_containers:[]}.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Pass</t>
        </is>
      </c>
      <c r="I84" s="2" t="inlineStr">
        <is>
          <t>toggle {enabled:true} -&gt; 200 state.enabled true (runtime_status running); {enabled:false} -&gt; 200 state.enabled false.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Pass</t>
        </is>
      </c>
      <c r="I85" s="2" t="inlineStr">
        <is>
          <t>status enabled false; POST {} -&gt; enabled true; POST {enabled:null} -&gt; enabled false (flipped each time).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Pass</t>
        </is>
      </c>
      <c r="I86" s="2" t="inlineStr">
        <is>
          <t>{enabled:'maybe'} -&gt; 400 {"error":"Input should be a valid boolean, unable to interpret input"}.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Blocked (needs docker/LLM/Telegram)</t>
        </is>
      </c>
      <c r="I87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Pass</t>
        </is>
      </c>
      <c r="I88" s="2" t="inlineStr">
        <is>
          <t>GET /api/insights -&gt; 200 {items:[],offset:0,limit:100} (no events in DB).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Pass</t>
        </is>
      </c>
      <c r="I89" s="2" t="inlineStr">
        <is>
          <t>limit=501 -&gt; 400 'less than or equal to 500'; limit=0 -&gt; 400; offset=-1 -&gt; 400; limit=abc -&gt; 400 valid integer; offset=5&amp;limit=10 -&gt; echoed 5/10.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Pass</t>
        </is>
      </c>
      <c r="I90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Pass</t>
        </is>
      </c>
      <c r="I91" s="2" t="inlineStr">
        <is>
          <t>sort=id -&gt; 400 {"error":"Input should be 'created_at' or '-created_at'"}; sort=created_at -&gt; 200; sort=-created_at -&gt; 200.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Pass</t>
        </is>
      </c>
      <c r="I92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Pass</t>
        </is>
      </c>
      <c r="I93" s="2" t="inlineStr">
        <is>
          <t>GET /api/reports/999999 -&gt; 404 {"error":"report not found"}; GET /api/reports/1 (generated) -&gt; 200 with same fields as ReportItem.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Blocked (needs docker/LLM/Telegram)</t>
        </is>
      </c>
      <c r="I94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Blocked (needs docker/LLM/Telegram)</t>
        </is>
      </c>
      <c r="I95" s="2" t="inlineStr">
        <is>
          <t>No Telegram creds. POST /api/telegram/test -&gt; 400 {"ok":false,"error":"telegram credentials are not configured"} (fallback passes).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Blocked (needs docker/LLM/Telegram)</t>
        </is>
      </c>
      <c r="I96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Pass</t>
        </is>
      </c>
      <c r="I97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Pass</t>
        </is>
      </c>
      <c r="I98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Pass</t>
        </is>
      </c>
      <c r="I99" s="2" t="inlineStr">
        <is>
          <t>status=bogus -&gt; 400 {"error":"invalid status"}; open/discussing/rejected/closed -&gt; 200 each.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Pass</t>
        </is>
      </c>
      <c r="I100" s="2" t="inlineStr">
        <is>
          <t>GET /api/issues/999999 -&gt; 404 {"error":"not found"}; GET /api/issues/1 (seeded fixture) -&gt; 200 issue dict.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Pass</t>
        </is>
      </c>
      <c r="I101" s="2" t="inlineStr">
        <is>
          <t>PATCH 999999 -&gt; 404 {"error":"not found"}; on seeded issue: status 'bogus' -&gt; 200 unchanged 'open'; {} -&gt; 200 'open'; 'closed' -&gt; 200 'closed' and appears in ?status=closed.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Blocked (needs docker/LLM/Telegram)</t>
        </is>
      </c>
      <c r="I102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Pass</t>
        </is>
      </c>
      <c r="I103" s="2" t="inlineStr">
        <is>
          <t>On seeded issue: {prompt:'  '} -&gt; 400 {"error":"prompt is required"}; {} -&gt; 400 same; non-JSON body -&gt; 400 same.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Pass</t>
        </is>
      </c>
      <c r="I104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Pass</t>
        </is>
      </c>
      <c r="I105" s="2" t="inlineStr">
        <is>
          <t>GET /api/nope -&gt; 404; DELETE /api/settings -&gt; 405.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Fixed - retest</t>
        </is>
      </c>
      <c r="I106" s="2" t="inlineStr">
        <is>
          <t>GET/PUT /api/settings include updated_at and PUT bumps it (20:17:53 -&gt; 20:18:05 after later PUT). But value is RFC 1123 HTTP-date 'Sat, 15 Aug 2026 20:18:05 GMT', not ISO 8601.</t>
        </is>
      </c>
      <c r="J106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06" s="2" t="inlineStr">
        <is>
          <t>__init__.py: ISOJSONProvider — datetimes serialised ISO-8601</t>
        </is>
      </c>
      <c r="L106" s="2" t="inlineStr"/>
      <c r="M106" s="2" t="inlineStr">
        <is>
          <t>2026-08-15</t>
        </is>
      </c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Fixed - retest</t>
        </is>
      </c>
      <c r="I107" s="2" t="inlineStr">
        <is>
          <t>create_app() config: SESSION_COOKIE_SAMESITE=None, SESSION_COOKIE_HTTPONLY=True, BASIC_AUTH_ENABLED=True with env vars set / False without.</t>
        </is>
      </c>
      <c r="J107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07" s="2" t="inlineStr">
        <is>
          <t>security.py: explicit set (Flask predefines key as None so setdefault was a no-op)</t>
        </is>
      </c>
      <c r="L107" s="2" t="inlineStr"/>
      <c r="M107" s="2" t="inlineStr">
        <is>
          <t>2026-08-15</t>
        </is>
      </c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Not tested</t>
        </is>
      </c>
      <c r="I108" s="2" t="inlineStr"/>
      <c r="J108" s="2" t="inlineStr"/>
      <c r="K108" s="2" t="inlineStr"/>
      <c r="L108" s="2" t="inlineStr"/>
      <c r="M108" s="2" t="inlineStr"/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Not tested</t>
        </is>
      </c>
      <c r="I109" s="2" t="inlineStr"/>
      <c r="J109" s="2" t="inlineStr"/>
      <c r="K109" s="2" t="inlineStr"/>
      <c r="L109" s="2" t="inlineStr"/>
      <c r="M109" s="2" t="inlineStr"/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Not tested</t>
        </is>
      </c>
      <c r="I110" s="2" t="inlineStr"/>
      <c r="J110" s="2" t="inlineStr"/>
      <c r="K110" s="2" t="inlineStr"/>
      <c r="L110" s="2" t="inlineStr"/>
      <c r="M110" s="2" t="inlineStr"/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Not tested</t>
        </is>
      </c>
      <c r="I111" s="2" t="inlineStr"/>
      <c r="J111" s="2" t="inlineStr"/>
      <c r="K111" s="2" t="inlineStr"/>
      <c r="L111" s="2" t="inlineStr"/>
      <c r="M111" s="2" t="inlineStr"/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Not tested</t>
        </is>
      </c>
      <c r="I112" s="2" t="inlineStr"/>
      <c r="J112" s="2" t="inlineStr"/>
      <c r="K112" s="2" t="inlineStr"/>
      <c r="L112" s="2" t="inlineStr"/>
      <c r="M112" s="2" t="inlineStr"/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Not tested</t>
        </is>
      </c>
      <c r="I113" s="2" t="inlineStr"/>
      <c r="J113" s="2" t="inlineStr"/>
      <c r="K113" s="2" t="inlineStr"/>
      <c r="L113" s="2" t="inlineStr"/>
      <c r="M113" s="2" t="inlineStr"/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Not tested</t>
        </is>
      </c>
      <c r="I114" s="2" t="inlineStr"/>
      <c r="J114" s="2" t="inlineStr"/>
      <c r="K114" s="2" t="inlineStr"/>
      <c r="L114" s="2" t="inlineStr"/>
      <c r="M114" s="2" t="inlineStr"/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Not tested</t>
        </is>
      </c>
      <c r="I115" s="2" t="inlineStr"/>
      <c r="J115" s="2" t="inlineStr"/>
      <c r="K115" s="2" t="inlineStr"/>
      <c r="L115" s="2" t="inlineStr"/>
      <c r="M115" s="2" t="inlineStr"/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Not tested</t>
        </is>
      </c>
      <c r="I116" s="2" t="inlineStr"/>
      <c r="J116" s="2" t="inlineStr"/>
      <c r="K116" s="2" t="inlineStr"/>
      <c r="L116" s="2" t="inlineStr"/>
      <c r="M116" s="2" t="inlineStr"/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Not tested</t>
        </is>
      </c>
      <c r="I117" s="2" t="inlineStr"/>
      <c r="J117" s="2" t="inlineStr"/>
      <c r="K117" s="2" t="inlineStr"/>
      <c r="L117" s="2" t="inlineStr"/>
      <c r="M117" s="2" t="inlineStr"/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Not tested</t>
        </is>
      </c>
      <c r="I118" s="2" t="inlineStr"/>
      <c r="J118" s="2" t="inlineStr"/>
      <c r="K118" s="2" t="inlineStr"/>
      <c r="L118" s="2" t="inlineStr"/>
      <c r="M118" s="2" t="inlineStr"/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Not tested</t>
        </is>
      </c>
      <c r="I119" s="2" t="inlineStr"/>
      <c r="J119" s="2" t="inlineStr"/>
      <c r="K119" s="2" t="inlineStr"/>
      <c r="L119" s="2" t="inlineStr"/>
      <c r="M119" s="2" t="inlineStr"/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Not tested</t>
        </is>
      </c>
      <c r="I120" s="2" t="inlineStr"/>
      <c r="J120" s="2" t="inlineStr"/>
      <c r="K120" s="2" t="inlineStr"/>
      <c r="L120" s="2" t="inlineStr"/>
      <c r="M120" s="2" t="inlineStr"/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Not tested</t>
        </is>
      </c>
      <c r="I121" s="2" t="inlineStr"/>
      <c r="J121" s="2" t="inlineStr"/>
      <c r="K121" s="2" t="inlineStr"/>
      <c r="L121" s="2" t="inlineStr"/>
      <c r="M121" s="2" t="inlineStr"/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Not tested</t>
        </is>
      </c>
      <c r="I122" s="2" t="inlineStr"/>
      <c r="J122" s="2" t="inlineStr"/>
      <c r="K122" s="2" t="inlineStr"/>
      <c r="L122" s="2" t="inlineStr"/>
      <c r="M122" s="2" t="inlineStr"/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Not tested</t>
        </is>
      </c>
      <c r="I123" s="2" t="inlineStr"/>
      <c r="J123" s="2" t="inlineStr"/>
      <c r="K123" s="2" t="inlineStr"/>
      <c r="L123" s="2" t="inlineStr"/>
      <c r="M123" s="2" t="inlineStr"/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Not tested</t>
        </is>
      </c>
      <c r="I124" s="2" t="inlineStr"/>
      <c r="J124" s="2" t="inlineStr"/>
      <c r="K124" s="2" t="inlineStr"/>
      <c r="L124" s="2" t="inlineStr"/>
      <c r="M124" s="2" t="inlineStr"/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Not tested</t>
        </is>
      </c>
      <c r="I125" s="2" t="inlineStr"/>
      <c r="J125" s="2" t="inlineStr"/>
      <c r="K125" s="2" t="inlineStr"/>
      <c r="L125" s="2" t="inlineStr"/>
      <c r="M125" s="2" t="inlineStr"/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Not tested</t>
        </is>
      </c>
      <c r="I126" s="2" t="inlineStr"/>
      <c r="J126" s="2" t="inlineStr"/>
      <c r="K126" s="2" t="inlineStr"/>
      <c r="L126" s="2" t="inlineStr"/>
      <c r="M126" s="2" t="inlineStr"/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Not tested</t>
        </is>
      </c>
      <c r="I127" s="2" t="inlineStr"/>
      <c r="J127" s="2" t="inlineStr"/>
      <c r="K127" s="2" t="inlineStr"/>
      <c r="L127" s="2" t="inlineStr"/>
      <c r="M127" s="2" t="inlineStr"/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Not tested</t>
        </is>
      </c>
      <c r="I128" s="2" t="inlineStr"/>
      <c r="J128" s="2" t="inlineStr"/>
      <c r="K128" s="2" t="inlineStr"/>
      <c r="L128" s="2" t="inlineStr"/>
      <c r="M128" s="2" t="inlineStr"/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Not tested</t>
        </is>
      </c>
      <c r="I129" s="2" t="inlineStr"/>
      <c r="J129" s="2" t="inlineStr"/>
      <c r="K129" s="2" t="inlineStr"/>
      <c r="L129" s="2" t="inlineStr"/>
      <c r="M129" s="2" t="inlineStr"/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Not tested</t>
        </is>
      </c>
      <c r="I130" s="2" t="inlineStr"/>
      <c r="J130" s="2" t="inlineStr"/>
      <c r="K130" s="2" t="inlineStr"/>
      <c r="L130" s="2" t="inlineStr"/>
      <c r="M130" s="2" t="inlineStr"/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Not tested</t>
        </is>
      </c>
      <c r="I131" s="2" t="inlineStr"/>
      <c r="J131" s="2" t="inlineStr"/>
      <c r="K131" s="2" t="inlineStr"/>
      <c r="L131" s="2" t="inlineStr"/>
      <c r="M131" s="2" t="inlineStr"/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Not tested</t>
        </is>
      </c>
      <c r="I132" s="2" t="inlineStr"/>
      <c r="J132" s="2" t="inlineStr"/>
      <c r="K132" s="2" t="inlineStr"/>
      <c r="L132" s="2" t="inlineStr"/>
      <c r="M132" s="2" t="inlineStr"/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Not tested</t>
        </is>
      </c>
      <c r="I133" s="2" t="inlineStr"/>
      <c r="J133" s="2" t="inlineStr"/>
      <c r="K133" s="2" t="inlineStr"/>
      <c r="L133" s="2" t="inlineStr"/>
      <c r="M133" s="2" t="inlineStr"/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Not tested</t>
        </is>
      </c>
      <c r="I134" s="2" t="inlineStr"/>
      <c r="J134" s="2" t="inlineStr"/>
      <c r="K134" s="2" t="inlineStr"/>
      <c r="L134" s="2" t="inlineStr"/>
      <c r="M134" s="2" t="inlineStr"/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Not tested</t>
        </is>
      </c>
      <c r="I135" s="2" t="inlineStr"/>
      <c r="J135" s="2" t="inlineStr"/>
      <c r="K135" s="2" t="inlineStr"/>
      <c r="L135" s="2" t="inlineStr"/>
      <c r="M135" s="2" t="inlineStr"/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Not tested</t>
        </is>
      </c>
      <c r="I136" s="2" t="inlineStr"/>
      <c r="J136" s="2" t="inlineStr"/>
      <c r="K136" s="2" t="inlineStr"/>
      <c r="L136" s="2" t="inlineStr"/>
      <c r="M136" s="2" t="inlineStr"/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Not tested</t>
        </is>
      </c>
      <c r="I137" s="2" t="inlineStr"/>
      <c r="J137" s="2" t="inlineStr"/>
      <c r="K137" s="2" t="inlineStr"/>
      <c r="L137" s="2" t="inlineStr"/>
      <c r="M137" s="2" t="inlineStr"/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Not tested</t>
        </is>
      </c>
      <c r="I138" s="2" t="inlineStr"/>
      <c r="J138" s="2" t="inlineStr"/>
      <c r="K138" s="2" t="inlineStr"/>
      <c r="L138" s="2" t="inlineStr"/>
      <c r="M138" s="2" t="inlineStr"/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Not tested</t>
        </is>
      </c>
      <c r="I139" s="2" t="inlineStr"/>
      <c r="J139" s="2" t="inlineStr"/>
      <c r="K139" s="2" t="inlineStr"/>
      <c r="L139" s="2" t="inlineStr"/>
      <c r="M139" s="2" t="inlineStr"/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 SENTINEL_SYSTEM, system JSON_OUTPUT_GUARD, user: SENTINEL_ANALYSIS + '=== CONTAINER ===' + name + '=== LOGS ===' warning text + '&lt;logs&gt;...&lt;/logs&gt;']. Missing prompt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Fixed - retest</t>
        </is>
      </c>
      <c r="I140" s="2" t="inlineStr">
        <is>
          <t>Live call to Qwen server → HTTP 400 'System message must be at the beginning' because sentinel sends 2 system messages (system + JSON guard). Same in telegram_bot._ask_llm.</t>
        </is>
      </c>
      <c r="J140" s="2" t="inlineStr">
        <is>
          <t>sentinel.py process_chunk messages had two role=system entries; chat-template servers (mlx/llama.cpp/vLLM) reject.</t>
        </is>
      </c>
      <c r="K140" s="2" t="inlineStr">
        <is>
          <t>commit: guard appended to the single system message; bot merged too</t>
        </is>
      </c>
      <c r="L140" s="2" t="inlineStr"/>
      <c r="M140" s="2" t="inlineStr">
        <is>
          <t>2026-08-15</t>
        </is>
      </c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Not tested</t>
        </is>
      </c>
      <c r="I141" s="2" t="inlineStr"/>
      <c r="J141" s="2" t="inlineStr"/>
      <c r="K141" s="2" t="inlineStr"/>
      <c r="L141" s="2" t="inlineStr"/>
      <c r="M141" s="2" t="inlineStr"/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Not tested</t>
        </is>
      </c>
      <c r="I142" s="2" t="inlineStr"/>
      <c r="J142" s="2" t="inlineStr"/>
      <c r="K142" s="2" t="inlineStr"/>
      <c r="L142" s="2" t="inlineStr"/>
      <c r="M142" s="2" t="inlineStr"/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Not tested</t>
        </is>
      </c>
      <c r="I143" s="2" t="inlineStr"/>
      <c r="J143" s="2" t="inlineStr"/>
      <c r="K143" s="2" t="inlineStr"/>
      <c r="L143" s="2" t="inlineStr"/>
      <c r="M143" s="2" t="inlineStr"/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Not tested</t>
        </is>
      </c>
      <c r="I144" s="2" t="inlineStr"/>
      <c r="J144" s="2" t="inlineStr"/>
      <c r="K144" s="2" t="inlineStr"/>
      <c r="L144" s="2" t="inlineStr"/>
      <c r="M144" s="2" t="inlineStr"/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Not tested</t>
        </is>
      </c>
      <c r="I145" s="2" t="inlineStr"/>
      <c r="J145" s="2" t="inlineStr"/>
      <c r="K145" s="2" t="inlineStr"/>
      <c r="L145" s="2" t="inlineStr"/>
      <c r="M145" s="2" t="inlineStr"/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Not tested</t>
        </is>
      </c>
      <c r="I146" s="2" t="inlineStr"/>
      <c r="J146" s="2" t="inlineStr"/>
      <c r="K146" s="2" t="inlineStr"/>
      <c r="L146" s="2" t="inlineStr"/>
      <c r="M146" s="2" t="inlineStr"/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Not tested</t>
        </is>
      </c>
      <c r="I147" s="2" t="inlineStr"/>
      <c r="J147" s="2" t="inlineStr"/>
      <c r="K147" s="2" t="inlineStr"/>
      <c r="L147" s="2" t="inlineStr"/>
      <c r="M147" s="2" t="inlineStr"/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Not tested</t>
        </is>
      </c>
      <c r="I148" s="2" t="inlineStr"/>
      <c r="J148" s="2" t="inlineStr"/>
      <c r="K148" s="2" t="inlineStr"/>
      <c r="L148" s="2" t="inlineStr"/>
      <c r="M148" s="2" t="inlineStr"/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Not tested</t>
        </is>
      </c>
      <c r="I149" s="2" t="inlineStr"/>
      <c r="J149" s="2" t="inlineStr"/>
      <c r="K149" s="2" t="inlineStr"/>
      <c r="L149" s="2" t="inlineStr"/>
      <c r="M149" s="2" t="inlineStr"/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Not tested</t>
        </is>
      </c>
      <c r="I150" s="2" t="inlineStr"/>
      <c r="J150" s="2" t="inlineStr"/>
      <c r="K150" s="2" t="inlineStr"/>
      <c r="L150" s="2" t="inlineStr"/>
      <c r="M150" s="2" t="inlineStr"/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Not tested</t>
        </is>
      </c>
      <c r="I151" s="2" t="inlineStr"/>
      <c r="J151" s="2" t="inlineStr"/>
      <c r="K151" s="2" t="inlineStr"/>
      <c r="L151" s="2" t="inlineStr"/>
      <c r="M151" s="2" t="inlineStr"/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Not tested</t>
        </is>
      </c>
      <c r="I152" s="2" t="inlineStr"/>
      <c r="J152" s="2" t="inlineStr"/>
      <c r="K152" s="2" t="inlineStr"/>
      <c r="L152" s="2" t="inlineStr"/>
      <c r="M152" s="2" t="inlineStr"/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Not tested</t>
        </is>
      </c>
      <c r="I153" s="2" t="inlineStr"/>
      <c r="J153" s="2" t="inlineStr"/>
      <c r="K153" s="2" t="inlineStr"/>
      <c r="L153" s="2" t="inlineStr"/>
      <c r="M153" s="2" t="inlineStr"/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Not tested</t>
        </is>
      </c>
      <c r="I154" s="2" t="inlineStr"/>
      <c r="J154" s="2" t="inlineStr"/>
      <c r="K154" s="2" t="inlineStr"/>
      <c r="L154" s="2" t="inlineStr"/>
      <c r="M154" s="2" t="inlineStr"/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Not tested</t>
        </is>
      </c>
      <c r="I155" s="2" t="inlineStr"/>
      <c r="J155" s="2" t="inlineStr"/>
      <c r="K155" s="2" t="inlineStr"/>
      <c r="L155" s="2" t="inlineStr"/>
      <c r="M155" s="2" t="inlineStr"/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Not tested</t>
        </is>
      </c>
      <c r="I156" s="2" t="inlineStr"/>
      <c r="J156" s="2" t="inlineStr"/>
      <c r="K156" s="2" t="inlineStr"/>
      <c r="L156" s="2" t="inlineStr"/>
      <c r="M156" s="2" t="inlineStr"/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Not tested</t>
        </is>
      </c>
      <c r="I157" s="2" t="inlineStr"/>
      <c r="J157" s="2" t="inlineStr"/>
      <c r="K157" s="2" t="inlineStr"/>
      <c r="L157" s="2" t="inlineStr"/>
      <c r="M157" s="2" t="inlineStr"/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Not tested</t>
        </is>
      </c>
      <c r="I158" s="2" t="inlineStr"/>
      <c r="J158" s="2" t="inlineStr"/>
      <c r="K158" s="2" t="inlineStr"/>
      <c r="L158" s="2" t="inlineStr"/>
      <c r="M158" s="2" t="inlineStr"/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Not tested</t>
        </is>
      </c>
      <c r="I159" s="2" t="inlineStr"/>
      <c r="J159" s="2" t="inlineStr"/>
      <c r="K159" s="2" t="inlineStr"/>
      <c r="L159" s="2" t="inlineStr"/>
      <c r="M159" s="2" t="inlineStr"/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Fixed - retest</t>
        </is>
      </c>
      <c r="I160" s="2" t="inlineStr">
        <is>
          <t>Live call to keyless OpenAI-compatible server (Qwen @10.0.0.79) failed before any HTTP: httpx 'Illegal header value b"Bearer "'.</t>
        </is>
      </c>
      <c r="J160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0" s="2" t="inlineStr">
        <is>
          <t>commit: omit Authorization when key blank; include server error detail</t>
        </is>
      </c>
      <c r="L160" s="2" t="inlineStr"/>
      <c r="M160" s="2" t="inlineStr">
        <is>
          <t>2026-08-15</t>
        </is>
      </c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Not tested</t>
        </is>
      </c>
      <c r="I161" s="2" t="inlineStr"/>
      <c r="J161" s="2" t="inlineStr"/>
      <c r="K161" s="2" t="inlineStr"/>
      <c r="L161" s="2" t="inlineStr"/>
      <c r="M161" s="2" t="inlineStr"/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Not tested</t>
        </is>
      </c>
      <c r="I162" s="2" t="inlineStr"/>
      <c r="J162" s="2" t="inlineStr"/>
      <c r="K162" s="2" t="inlineStr"/>
      <c r="L162" s="2" t="inlineStr"/>
      <c r="M162" s="2" t="inlineStr"/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Not tested</t>
        </is>
      </c>
      <c r="I163" s="2" t="inlineStr"/>
      <c r="J163" s="2" t="inlineStr"/>
      <c r="K163" s="2" t="inlineStr"/>
      <c r="L163" s="2" t="inlineStr"/>
      <c r="M163" s="2" t="inlineStr"/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Not tested</t>
        </is>
      </c>
      <c r="I164" s="2" t="inlineStr"/>
      <c r="J164" s="2" t="inlineStr"/>
      <c r="K164" s="2" t="inlineStr"/>
      <c r="L164" s="2" t="inlineStr"/>
      <c r="M164" s="2" t="inlineStr"/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Not tested</t>
        </is>
      </c>
      <c r="I165" s="2" t="inlineStr"/>
      <c r="J165" s="2" t="inlineStr"/>
      <c r="K165" s="2" t="inlineStr"/>
      <c r="L165" s="2" t="inlineStr"/>
      <c r="M165" s="2" t="inlineStr"/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Not tested</t>
        </is>
      </c>
      <c r="I166" s="2" t="inlineStr"/>
      <c r="J166" s="2" t="inlineStr"/>
      <c r="K166" s="2" t="inlineStr"/>
      <c r="L166" s="2" t="inlineStr"/>
      <c r="M166" s="2" t="inlineStr"/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Not tested</t>
        </is>
      </c>
      <c r="I167" s="2" t="inlineStr"/>
      <c r="J167" s="2" t="inlineStr"/>
      <c r="K167" s="2" t="inlineStr"/>
      <c r="L167" s="2" t="inlineStr"/>
      <c r="M167" s="2" t="inlineStr"/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Not tested</t>
        </is>
      </c>
      <c r="I168" s="2" t="inlineStr"/>
      <c r="J168" s="2" t="inlineStr"/>
      <c r="K168" s="2" t="inlineStr"/>
      <c r="L168" s="2" t="inlineStr"/>
      <c r="M168" s="2" t="inlineStr"/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Not tested</t>
        </is>
      </c>
      <c r="I169" s="2" t="inlineStr"/>
      <c r="J169" s="2" t="inlineStr"/>
      <c r="K169" s="2" t="inlineStr"/>
      <c r="L169" s="2" t="inlineStr"/>
      <c r="M169" s="2" t="inlineStr"/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Not tested</t>
        </is>
      </c>
      <c r="I170" s="2" t="inlineStr"/>
      <c r="J170" s="2" t="inlineStr"/>
      <c r="K170" s="2" t="inlineStr"/>
      <c r="L170" s="2" t="inlineStr"/>
      <c r="M170" s="2" t="inlineStr"/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Not tested</t>
        </is>
      </c>
      <c r="I171" s="2" t="inlineStr"/>
      <c r="J171" s="2" t="inlineStr"/>
      <c r="K171" s="2" t="inlineStr"/>
      <c r="L171" s="2" t="inlineStr"/>
      <c r="M171" s="2" t="inlineStr"/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Not tested</t>
        </is>
      </c>
      <c r="I172" s="2" t="inlineStr"/>
      <c r="J172" s="2" t="inlineStr"/>
      <c r="K172" s="2" t="inlineStr"/>
      <c r="L172" s="2" t="inlineStr"/>
      <c r="M172" s="2" t="inlineStr"/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Not tested</t>
        </is>
      </c>
      <c r="I173" s="2" t="inlineStr"/>
      <c r="J173" s="2" t="inlineStr"/>
      <c r="K173" s="2" t="inlineStr"/>
      <c r="L173" s="2" t="inlineStr"/>
      <c r="M173" s="2" t="inlineStr"/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Not tested</t>
        </is>
      </c>
      <c r="I174" s="2" t="inlineStr"/>
      <c r="J174" s="2" t="inlineStr"/>
      <c r="K174" s="2" t="inlineStr"/>
      <c r="L174" s="2" t="inlineStr"/>
      <c r="M174" s="2" t="inlineStr"/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Not tested</t>
        </is>
      </c>
      <c r="I175" s="2" t="inlineStr"/>
      <c r="J175" s="2" t="inlineStr"/>
      <c r="K175" s="2" t="inlineStr"/>
      <c r="L175" s="2" t="inlineStr"/>
      <c r="M175" s="2" t="inlineStr"/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Not tested</t>
        </is>
      </c>
      <c r="I176" s="2" t="inlineStr"/>
      <c r="J176" s="2" t="inlineStr"/>
      <c r="K176" s="2" t="inlineStr"/>
      <c r="L176" s="2" t="inlineStr"/>
      <c r="M176" s="2" t="inlineStr"/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Not tested</t>
        </is>
      </c>
      <c r="I177" s="2" t="inlineStr"/>
      <c r="J177" s="2" t="inlineStr"/>
      <c r="K177" s="2" t="inlineStr"/>
      <c r="L177" s="2" t="inlineStr"/>
      <c r="M177" s="2" t="inlineStr"/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Not tested</t>
        </is>
      </c>
      <c r="I178" s="2" t="inlineStr"/>
      <c r="J178" s="2" t="inlineStr"/>
      <c r="K178" s="2" t="inlineStr"/>
      <c r="L178" s="2" t="inlineStr"/>
      <c r="M178" s="2" t="inlineStr"/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Not tested</t>
        </is>
      </c>
      <c r="I179" s="2" t="inlineStr"/>
      <c r="J179" s="2" t="inlineStr"/>
      <c r="K179" s="2" t="inlineStr"/>
      <c r="L179" s="2" t="inlineStr"/>
      <c r="M179" s="2" t="inlineStr"/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Not tested</t>
        </is>
      </c>
      <c r="I180" s="2" t="inlineStr"/>
      <c r="J180" s="2" t="inlineStr"/>
      <c r="K180" s="2" t="inlineStr"/>
      <c r="L180" s="2" t="inlineStr"/>
      <c r="M180" s="2" t="inlineStr"/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Not tested</t>
        </is>
      </c>
      <c r="I181" s="2" t="inlineStr"/>
      <c r="J181" s="2" t="inlineStr"/>
      <c r="K181" s="2" t="inlineStr"/>
      <c r="L181" s="2" t="inlineStr"/>
      <c r="M181" s="2" t="inlineStr"/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Not tested</t>
        </is>
      </c>
      <c r="I182" s="2" t="inlineStr"/>
      <c r="J182" s="2" t="inlineStr"/>
      <c r="K182" s="2" t="inlineStr"/>
      <c r="L182" s="2" t="inlineStr"/>
      <c r="M182" s="2" t="inlineStr"/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Not tested</t>
        </is>
      </c>
      <c r="I183" s="2" t="inlineStr"/>
      <c r="J183" s="2" t="inlineStr"/>
      <c r="K183" s="2" t="inlineStr"/>
      <c r="L183" s="2" t="inlineStr"/>
      <c r="M183" s="2" t="inlineStr"/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Not tested</t>
        </is>
      </c>
      <c r="I184" s="2" t="inlineStr"/>
      <c r="J184" s="2" t="inlineStr"/>
      <c r="K184" s="2" t="inlineStr"/>
      <c r="L184" s="2" t="inlineStr"/>
      <c r="M184" s="2" t="inlineStr"/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Not tested</t>
        </is>
      </c>
      <c r="I185" s="2" t="inlineStr"/>
      <c r="J185" s="2" t="inlineStr"/>
      <c r="K185" s="2" t="inlineStr"/>
      <c r="L185" s="2" t="inlineStr"/>
      <c r="M185" s="2" t="inlineStr"/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Not tested</t>
        </is>
      </c>
      <c r="I186" s="2" t="inlineStr"/>
      <c r="J186" s="2" t="inlineStr"/>
      <c r="K186" s="2" t="inlineStr"/>
      <c r="L186" s="2" t="inlineStr"/>
      <c r="M186" s="2" t="inlineStr"/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Not tested</t>
        </is>
      </c>
      <c r="I187" s="2" t="inlineStr"/>
      <c r="J187" s="2" t="inlineStr"/>
      <c r="K187" s="2" t="inlineStr"/>
      <c r="L187" s="2" t="inlineStr"/>
      <c r="M187" s="2" t="inlineStr"/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Not tested</t>
        </is>
      </c>
      <c r="I188" s="2" t="inlineStr"/>
      <c r="J188" s="2" t="inlineStr"/>
      <c r="K188" s="2" t="inlineStr"/>
      <c r="L188" s="2" t="inlineStr"/>
      <c r="M188" s="2" t="inlineStr"/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Not tested</t>
        </is>
      </c>
      <c r="I189" s="2" t="inlineStr"/>
      <c r="J189" s="2" t="inlineStr"/>
      <c r="K189" s="2" t="inlineStr"/>
      <c r="L189" s="2" t="inlineStr"/>
      <c r="M189" s="2" t="inlineStr"/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Not tested</t>
        </is>
      </c>
      <c r="I190" s="2" t="inlineStr"/>
      <c r="J190" s="2" t="inlineStr"/>
      <c r="K190" s="2" t="inlineStr"/>
      <c r="L190" s="2" t="inlineStr"/>
      <c r="M190" s="2" t="inlineStr"/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Not tested</t>
        </is>
      </c>
      <c r="I191" s="2" t="inlineStr"/>
      <c r="J191" s="2" t="inlineStr"/>
      <c r="K191" s="2" t="inlineStr"/>
      <c r="L191" s="2" t="inlineStr"/>
      <c r="M191" s="2" t="inlineStr"/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Not tested</t>
        </is>
      </c>
      <c r="I192" s="2" t="inlineStr"/>
      <c r="J192" s="2" t="inlineStr"/>
      <c r="K192" s="2" t="inlineStr"/>
      <c r="L192" s="2" t="inlineStr"/>
      <c r="M192" s="2" t="inlineStr"/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Not tested</t>
        </is>
      </c>
      <c r="I193" s="2" t="inlineStr"/>
      <c r="J193" s="2" t="inlineStr"/>
      <c r="K193" s="2" t="inlineStr"/>
      <c r="L193" s="2" t="inlineStr"/>
      <c r="M193" s="2" t="inlineStr"/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Not tested</t>
        </is>
      </c>
      <c r="I194" s="2" t="inlineStr"/>
      <c r="J194" s="2" t="inlineStr"/>
      <c r="K194" s="2" t="inlineStr"/>
      <c r="L194" s="2" t="inlineStr"/>
      <c r="M194" s="2" t="inlineStr"/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Not tested</t>
        </is>
      </c>
      <c r="I195" s="2" t="inlineStr"/>
      <c r="J195" s="2" t="inlineStr"/>
      <c r="K195" s="2" t="inlineStr"/>
      <c r="L195" s="2" t="inlineStr"/>
      <c r="M195" s="2" t="inlineStr"/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Not tested</t>
        </is>
      </c>
      <c r="I196" s="2" t="inlineStr"/>
      <c r="J196" s="2" t="inlineStr"/>
      <c r="K196" s="2" t="inlineStr"/>
      <c r="L196" s="2" t="inlineStr"/>
      <c r="M196" s="2" t="inlineStr"/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Not tested</t>
        </is>
      </c>
      <c r="I197" s="2" t="inlineStr"/>
      <c r="J197" s="2" t="inlineStr"/>
      <c r="K197" s="2" t="inlineStr"/>
      <c r="L197" s="2" t="inlineStr"/>
      <c r="M197" s="2" t="inlineStr"/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Not tested</t>
        </is>
      </c>
      <c r="I198" s="2" t="inlineStr"/>
      <c r="J198" s="2" t="inlineStr"/>
      <c r="K198" s="2" t="inlineStr"/>
      <c r="L198" s="2" t="inlineStr"/>
      <c r="M198" s="2" t="inlineStr"/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Not tested</t>
        </is>
      </c>
      <c r="I199" s="2" t="inlineStr"/>
      <c r="J199" s="2" t="inlineStr"/>
      <c r="K199" s="2" t="inlineStr"/>
      <c r="L199" s="2" t="inlineStr"/>
      <c r="M199" s="2" t="inlineStr"/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Not tested</t>
        </is>
      </c>
      <c r="I200" s="2" t="inlineStr"/>
      <c r="J200" s="2" t="inlineStr"/>
      <c r="K200" s="2" t="inlineStr"/>
      <c r="L200" s="2" t="inlineStr"/>
      <c r="M200" s="2" t="inlineStr"/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Not tested</t>
        </is>
      </c>
      <c r="I201" s="2" t="inlineStr"/>
      <c r="J201" s="2" t="inlineStr"/>
      <c r="K201" s="2" t="inlineStr"/>
      <c r="L201" s="2" t="inlineStr"/>
      <c r="M201" s="2" t="inlineStr"/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Not tested</t>
        </is>
      </c>
      <c r="I202" s="2" t="inlineStr"/>
      <c r="J202" s="2" t="inlineStr"/>
      <c r="K202" s="2" t="inlineStr"/>
      <c r="L202" s="2" t="inlineStr"/>
      <c r="M202" s="2" t="inlineStr"/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Not tested</t>
        </is>
      </c>
      <c r="I203" s="2" t="inlineStr"/>
      <c r="J203" s="2" t="inlineStr"/>
      <c r="K203" s="2" t="inlineStr"/>
      <c r="L203" s="2" t="inlineStr"/>
      <c r="M203" s="2" t="inlineStr"/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Not tested</t>
        </is>
      </c>
      <c r="I204" s="2" t="inlineStr"/>
      <c r="J204" s="2" t="inlineStr"/>
      <c r="K204" s="2" t="inlineStr"/>
      <c r="L204" s="2" t="inlineStr"/>
      <c r="M204" s="2" t="inlineStr"/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Not tested</t>
        </is>
      </c>
      <c r="I205" s="2" t="inlineStr"/>
      <c r="J205" s="2" t="inlineStr"/>
      <c r="K205" s="2" t="inlineStr"/>
      <c r="L205" s="2" t="inlineStr"/>
      <c r="M205" s="2" t="inlineStr"/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Not tested</t>
        </is>
      </c>
      <c r="I206" s="2" t="inlineStr"/>
      <c r="J206" s="2" t="inlineStr"/>
      <c r="K206" s="2" t="inlineStr"/>
      <c r="L206" s="2" t="inlineStr"/>
      <c r="M206" s="2" t="inlineStr"/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Not tested</t>
        </is>
      </c>
      <c r="I207" s="2" t="inlineStr"/>
      <c r="J207" s="2" t="inlineStr"/>
      <c r="K207" s="2" t="inlineStr"/>
      <c r="L207" s="2" t="inlineStr"/>
      <c r="M207" s="2" t="inlineStr"/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Not tested</t>
        </is>
      </c>
      <c r="I208" s="2" t="inlineStr"/>
      <c r="J208" s="2" t="inlineStr"/>
      <c r="K208" s="2" t="inlineStr"/>
      <c r="L208" s="2" t="inlineStr"/>
      <c r="M208" s="2" t="inlineStr"/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Not tested</t>
        </is>
      </c>
      <c r="I209" s="2" t="inlineStr"/>
      <c r="J209" s="2" t="inlineStr"/>
      <c r="K209" s="2" t="inlineStr"/>
      <c r="L209" s="2" t="inlineStr"/>
      <c r="M209" s="2" t="inlineStr"/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Not tested</t>
        </is>
      </c>
      <c r="I210" s="2" t="inlineStr"/>
      <c r="J210" s="2" t="inlineStr"/>
      <c r="K210" s="2" t="inlineStr"/>
      <c r="L210" s="2" t="inlineStr"/>
      <c r="M210" s="2" t="inlineStr"/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Not tested</t>
        </is>
      </c>
      <c r="I211" s="2" t="inlineStr"/>
      <c r="J211" s="2" t="inlineStr"/>
      <c r="K211" s="2" t="inlineStr"/>
      <c r="L211" s="2" t="inlineStr"/>
      <c r="M211" s="2" t="inlineStr"/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Not tested</t>
        </is>
      </c>
      <c r="I212" s="2" t="inlineStr"/>
      <c r="J212" s="2" t="inlineStr"/>
      <c r="K212" s="2" t="inlineStr"/>
      <c r="L212" s="2" t="inlineStr"/>
      <c r="M212" s="2" t="inlineStr"/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Not tested</t>
        </is>
      </c>
      <c r="I213" s="2" t="inlineStr"/>
      <c r="J213" s="2" t="inlineStr"/>
      <c r="K213" s="2" t="inlineStr"/>
      <c r="L213" s="2" t="inlineStr"/>
      <c r="M213" s="2" t="inlineStr"/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Not tested</t>
        </is>
      </c>
      <c r="I214" s="2" t="inlineStr"/>
      <c r="J214" s="2" t="inlineStr"/>
      <c r="K214" s="2" t="inlineStr"/>
      <c r="L214" s="2" t="inlineStr"/>
      <c r="M214" s="2" t="inlineStr"/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Not tested</t>
        </is>
      </c>
      <c r="I215" s="2" t="inlineStr"/>
      <c r="J215" s="2" t="inlineStr"/>
      <c r="K215" s="2" t="inlineStr"/>
      <c r="L215" s="2" t="inlineStr"/>
      <c r="M215" s="2" t="inlineStr"/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Not tested</t>
        </is>
      </c>
      <c r="I216" s="2" t="inlineStr"/>
      <c r="J216" s="2" t="inlineStr"/>
      <c r="K216" s="2" t="inlineStr"/>
      <c r="L216" s="2" t="inlineStr"/>
      <c r="M216" s="2" t="inlineStr"/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Not tested</t>
        </is>
      </c>
      <c r="I217" s="2" t="inlineStr"/>
      <c r="J217" s="2" t="inlineStr"/>
      <c r="K217" s="2" t="inlineStr"/>
      <c r="L217" s="2" t="inlineStr"/>
      <c r="M217" s="2" t="inlineStr"/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Not tested</t>
        </is>
      </c>
      <c r="I218" s="2" t="inlineStr"/>
      <c r="J218" s="2" t="inlineStr"/>
      <c r="K218" s="2" t="inlineStr"/>
      <c r="L218" s="2" t="inlineStr"/>
      <c r="M218" s="2" t="inlineStr"/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Not tested</t>
        </is>
      </c>
      <c r="I219" s="2" t="inlineStr"/>
      <c r="J219" s="2" t="inlineStr"/>
      <c r="K219" s="2" t="inlineStr"/>
      <c r="L219" s="2" t="inlineStr"/>
      <c r="M219" s="2" t="inlineStr"/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Not tested</t>
        </is>
      </c>
      <c r="I220" s="2" t="inlineStr"/>
      <c r="J220" s="2" t="inlineStr"/>
      <c r="K220" s="2" t="inlineStr"/>
      <c r="L220" s="2" t="inlineStr"/>
      <c r="M220" s="2" t="inlineStr"/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Not tested</t>
        </is>
      </c>
      <c r="I221" s="2" t="inlineStr"/>
      <c r="J221" s="2" t="inlineStr"/>
      <c r="K221" s="2" t="inlineStr"/>
      <c r="L221" s="2" t="inlineStr"/>
      <c r="M221" s="2" t="inlineStr"/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Not tested</t>
        </is>
      </c>
      <c r="I222" s="2" t="inlineStr"/>
      <c r="J222" s="2" t="inlineStr"/>
      <c r="K222" s="2" t="inlineStr"/>
      <c r="L222" s="2" t="inlineStr"/>
      <c r="M222" s="2" t="inlineStr"/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Not tested</t>
        </is>
      </c>
      <c r="I223" s="2" t="inlineStr"/>
      <c r="J223" s="2" t="inlineStr"/>
      <c r="K223" s="2" t="inlineStr"/>
      <c r="L223" s="2" t="inlineStr"/>
      <c r="M223" s="2" t="inlineStr"/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Not tested</t>
        </is>
      </c>
      <c r="I224" s="2" t="inlineStr"/>
      <c r="J224" s="2" t="inlineStr"/>
      <c r="K224" s="2" t="inlineStr"/>
      <c r="L224" s="2" t="inlineStr"/>
      <c r="M224" s="2" t="inlineStr"/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Not tested</t>
        </is>
      </c>
      <c r="I225" s="2" t="inlineStr"/>
      <c r="J225" s="2" t="inlineStr"/>
      <c r="K225" s="2" t="inlineStr"/>
      <c r="L225" s="2" t="inlineStr"/>
      <c r="M225" s="2" t="inlineStr"/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Not tested</t>
        </is>
      </c>
      <c r="I226" s="2" t="inlineStr"/>
      <c r="J226" s="2" t="inlineStr"/>
      <c r="K226" s="2" t="inlineStr"/>
      <c r="L226" s="2" t="inlineStr"/>
      <c r="M226" s="2" t="inlineStr"/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Not tested</t>
        </is>
      </c>
      <c r="I227" s="2" t="inlineStr"/>
      <c r="J227" s="2" t="inlineStr"/>
      <c r="K227" s="2" t="inlineStr"/>
      <c r="L227" s="2" t="inlineStr"/>
      <c r="M227" s="2" t="inlineStr"/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Not tested</t>
        </is>
      </c>
      <c r="I228" s="2" t="inlineStr"/>
      <c r="J228" s="2" t="inlineStr"/>
      <c r="K228" s="2" t="inlineStr"/>
      <c r="L228" s="2" t="inlineStr"/>
      <c r="M228" s="2" t="inlineStr"/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Not tested</t>
        </is>
      </c>
      <c r="I229" s="2" t="inlineStr"/>
      <c r="J229" s="2" t="inlineStr"/>
      <c r="K229" s="2" t="inlineStr"/>
      <c r="L229" s="2" t="inlineStr"/>
      <c r="M229" s="2" t="inlineStr"/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Not tested</t>
        </is>
      </c>
      <c r="I230" s="2" t="inlineStr"/>
      <c r="J230" s="2" t="inlineStr"/>
      <c r="K230" s="2" t="inlineStr"/>
      <c r="L230" s="2" t="inlineStr"/>
      <c r="M230" s="2" t="inlineStr"/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Not tested</t>
        </is>
      </c>
      <c r="I231" s="2" t="inlineStr"/>
      <c r="J231" s="2" t="inlineStr"/>
      <c r="K231" s="2" t="inlineStr"/>
      <c r="L231" s="2" t="inlineStr"/>
      <c r="M231" s="2" t="inlineStr"/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Not tested</t>
        </is>
      </c>
      <c r="I232" s="2" t="inlineStr"/>
      <c r="J232" s="2" t="inlineStr"/>
      <c r="K232" s="2" t="inlineStr"/>
      <c r="L232" s="2" t="inlineStr"/>
      <c r="M232" s="2" t="inlineStr"/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Fail</t>
        </is>
      </c>
      <c r="I233" s="2" t="inlineStr">
        <is>
          <t>Followed README local-dev steps on a fresh clone: `flask --app app run` crashed with 'no such table: schema_version' — create_all only runs under TESTING; alembic must be run first but the README only mentions it 'after dependency changes'.</t>
        </is>
      </c>
      <c r="J233" s="2" t="inlineStr">
        <is>
          <t>README.md:244-250 order/wording; app/__init__.py:70-72 (create_all gated on TESTING). Expected: first-run works or README says run `alembic upgrade head` BEFORE first `flask run`.</t>
        </is>
      </c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Not tested</t>
        </is>
      </c>
      <c r="I234" s="2" t="inlineStr"/>
      <c r="J234" s="2" t="inlineStr"/>
      <c r="K234" s="2" t="inlineStr"/>
      <c r="L234" s="2" t="inlineStr"/>
      <c r="M234" s="2" t="inlineStr"/>
    </row>
  </sheetData>
  <autoFilter ref="A1:M234"/>
  <dataValidations count="1">
    <dataValidation sqref="H2:H234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COUNTIF(Stories!$H$2:$H$234,A2)</f>
        <v/>
      </c>
      <c r="C2" s="4" t="n"/>
      <c r="D2" s="4" t="n"/>
    </row>
    <row r="3">
      <c r="A3" s="4" t="inlineStr">
        <is>
          <t>Pass</t>
        </is>
      </c>
      <c r="B3" s="4">
        <f>COUNTIF(Stories!$H$2:$H$234,A3)</f>
        <v/>
      </c>
      <c r="C3" s="4" t="n"/>
      <c r="D3" s="4" t="n"/>
    </row>
    <row r="4">
      <c r="A4" s="4" t="inlineStr">
        <is>
          <t>Fail</t>
        </is>
      </c>
      <c r="B4" s="4">
        <f>COUNTIF(Stories!$H$2:$H$234,A4)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COUNTIF(Stories!$H$2:$H$234,A5)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COUNTIF(Stories!$H$2:$H$234,A6)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COUNTIF(Stories!$H$2:$H$234,A7)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COUNTIF(Stories!$H$2:$H$234,A8)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COUNTA(Stories!$A$2:$A$234)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COUNTIF(Stories!$B$2:$B$234,A14)</f>
        <v/>
      </c>
      <c r="C14" s="4">
        <f>COUNTIFS(Stories!$B$2:$B$234,A14,Stories!$H$2:$H$234,"Pass")+COUNTIFS(Stories!$B$2:$B$234,A14,Stories!$H$2:$H$234,"Pass (after fix)")</f>
        <v/>
      </c>
      <c r="D14" s="4">
        <f>COUNTIFS(Stories!$B$2:$B$234,A14,Stories!$H$2:$H$234,"Fail")</f>
        <v/>
      </c>
    </row>
    <row r="15">
      <c r="A15" s="4" t="inlineStr">
        <is>
          <t>API: Exclusions</t>
        </is>
      </c>
      <c r="B15" s="4">
        <f>COUNTIF(Stories!$B$2:$B$234,A15)</f>
        <v/>
      </c>
      <c r="C15" s="4">
        <f>COUNTIFS(Stories!$B$2:$B$234,A15,Stories!$H$2:$H$234,"Pass")+COUNTIFS(Stories!$B$2:$B$234,A15,Stories!$H$2:$H$234,"Pass (after fix)")</f>
        <v/>
      </c>
      <c r="D15" s="4">
        <f>COUNTIFS(Stories!$B$2:$B$234,A15,Stories!$H$2:$H$234,"Fail")</f>
        <v/>
      </c>
    </row>
    <row r="16">
      <c r="A16" s="4" t="inlineStr">
        <is>
          <t>API: General</t>
        </is>
      </c>
      <c r="B16" s="4">
        <f>COUNTIF(Stories!$B$2:$B$234,A16)</f>
        <v/>
      </c>
      <c r="C16" s="4">
        <f>COUNTIFS(Stories!$B$2:$B$234,A16,Stories!$H$2:$H$234,"Pass")+COUNTIFS(Stories!$B$2:$B$234,A16,Stories!$H$2:$H$234,"Pass (after fix)")</f>
        <v/>
      </c>
      <c r="D16" s="4">
        <f>COUNTIFS(Stories!$B$2:$B$234,A16,Stories!$H$2:$H$234,"Fail")</f>
        <v/>
      </c>
    </row>
    <row r="17">
      <c r="A17" s="4" t="inlineStr">
        <is>
          <t>API: Health</t>
        </is>
      </c>
      <c r="B17" s="4">
        <f>COUNTIF(Stories!$B$2:$B$234,A17)</f>
        <v/>
      </c>
      <c r="C17" s="4">
        <f>COUNTIFS(Stories!$B$2:$B$234,A17,Stories!$H$2:$H$234,"Pass")+COUNTIFS(Stories!$B$2:$B$234,A17,Stories!$H$2:$H$234,"Pass (after fix)")</f>
        <v/>
      </c>
      <c r="D17" s="4">
        <f>COUNTIFS(Stories!$B$2:$B$234,A17,Stories!$H$2:$H$234,"Fail")</f>
        <v/>
      </c>
    </row>
    <row r="18">
      <c r="A18" s="4" t="inlineStr">
        <is>
          <t>API: Insights</t>
        </is>
      </c>
      <c r="B18" s="4">
        <f>COUNTIF(Stories!$B$2:$B$234,A18)</f>
        <v/>
      </c>
      <c r="C18" s="4">
        <f>COUNTIFS(Stories!$B$2:$B$234,A18,Stories!$H$2:$H$234,"Pass")+COUNTIFS(Stories!$B$2:$B$234,A18,Stories!$H$2:$H$234,"Pass (after fix)")</f>
        <v/>
      </c>
      <c r="D18" s="4">
        <f>COUNTIFS(Stories!$B$2:$B$234,A18,Stories!$H$2:$H$234,"Fail")</f>
        <v/>
      </c>
    </row>
    <row r="19">
      <c r="A19" s="4" t="inlineStr">
        <is>
          <t>API: Issues</t>
        </is>
      </c>
      <c r="B19" s="4">
        <f>COUNTIF(Stories!$B$2:$B$234,A19)</f>
        <v/>
      </c>
      <c r="C19" s="4">
        <f>COUNTIFS(Stories!$B$2:$B$234,A19,Stories!$H$2:$H$234,"Pass")+COUNTIFS(Stories!$B$2:$B$234,A19,Stories!$H$2:$H$234,"Pass (after fix)")</f>
        <v/>
      </c>
      <c r="D19" s="4">
        <f>COUNTIFS(Stories!$B$2:$B$234,A19,Stories!$H$2:$H$234,"Fail")</f>
        <v/>
      </c>
    </row>
    <row r="20">
      <c r="A20" s="4" t="inlineStr">
        <is>
          <t>API: Ollama</t>
        </is>
      </c>
      <c r="B20" s="4">
        <f>COUNTIF(Stories!$B$2:$B$234,A20)</f>
        <v/>
      </c>
      <c r="C20" s="4">
        <f>COUNTIFS(Stories!$B$2:$B$234,A20,Stories!$H$2:$H$234,"Pass")+COUNTIFS(Stories!$B$2:$B$234,A20,Stories!$H$2:$H$234,"Pass (after fix)")</f>
        <v/>
      </c>
      <c r="D20" s="4">
        <f>COUNTIFS(Stories!$B$2:$B$234,A20,Stories!$H$2:$H$234,"Fail")</f>
        <v/>
      </c>
    </row>
    <row r="21">
      <c r="A21" s="4" t="inlineStr">
        <is>
          <t>API: Prompts</t>
        </is>
      </c>
      <c r="B21" s="4">
        <f>COUNTIF(Stories!$B$2:$B$234,A21)</f>
        <v/>
      </c>
      <c r="C21" s="4">
        <f>COUNTIFS(Stories!$B$2:$B$234,A21,Stories!$H$2:$H$234,"Pass")+COUNTIFS(Stories!$B$2:$B$234,A21,Stories!$H$2:$H$234,"Pass (after fix)")</f>
        <v/>
      </c>
      <c r="D21" s="4">
        <f>COUNTIFS(Stories!$B$2:$B$234,A21,Stories!$H$2:$H$234,"Fail")</f>
        <v/>
      </c>
    </row>
    <row r="22">
      <c r="A22" s="4" t="inlineStr">
        <is>
          <t>API: Reports</t>
        </is>
      </c>
      <c r="B22" s="4">
        <f>COUNTIF(Stories!$B$2:$B$234,A22)</f>
        <v/>
      </c>
      <c r="C22" s="4">
        <f>COUNTIFS(Stories!$B$2:$B$234,A22,Stories!$H$2:$H$234,"Pass")+COUNTIFS(Stories!$B$2:$B$234,A22,Stories!$H$2:$H$234,"Pass (after fix)")</f>
        <v/>
      </c>
      <c r="D22" s="4">
        <f>COUNTIFS(Stories!$B$2:$B$234,A22,Stories!$H$2:$H$234,"Fail")</f>
        <v/>
      </c>
    </row>
    <row r="23">
      <c r="A23" s="4" t="inlineStr">
        <is>
          <t>API: Security</t>
        </is>
      </c>
      <c r="B23" s="4">
        <f>COUNTIF(Stories!$B$2:$B$234,A23)</f>
        <v/>
      </c>
      <c r="C23" s="4">
        <f>COUNTIFS(Stories!$B$2:$B$234,A23,Stories!$H$2:$H$234,"Pass")+COUNTIFS(Stories!$B$2:$B$234,A23,Stories!$H$2:$H$234,"Pass (after fix)")</f>
        <v/>
      </c>
      <c r="D23" s="4">
        <f>COUNTIFS(Stories!$B$2:$B$234,A23,Stories!$H$2:$H$234,"Fail")</f>
        <v/>
      </c>
    </row>
    <row r="24">
      <c r="A24" s="4" t="inlineStr">
        <is>
          <t>API: Sentinel</t>
        </is>
      </c>
      <c r="B24" s="4">
        <f>COUNTIF(Stories!$B$2:$B$234,A24)</f>
        <v/>
      </c>
      <c r="C24" s="4">
        <f>COUNTIFS(Stories!$B$2:$B$234,A24,Stories!$H$2:$H$234,"Pass")+COUNTIFS(Stories!$B$2:$B$234,A24,Stories!$H$2:$H$234,"Pass (after fix)")</f>
        <v/>
      </c>
      <c r="D24" s="4">
        <f>COUNTIFS(Stories!$B$2:$B$234,A24,Stories!$H$2:$H$234,"Fail")</f>
        <v/>
      </c>
    </row>
    <row r="25">
      <c r="A25" s="4" t="inlineStr">
        <is>
          <t>API: Settings</t>
        </is>
      </c>
      <c r="B25" s="4">
        <f>COUNTIF(Stories!$B$2:$B$234,A25)</f>
        <v/>
      </c>
      <c r="C25" s="4">
        <f>COUNTIFS(Stories!$B$2:$B$234,A25,Stories!$H$2:$H$234,"Pass")+COUNTIFS(Stories!$B$2:$B$234,A25,Stories!$H$2:$H$234,"Pass (after fix)")</f>
        <v/>
      </c>
      <c r="D25" s="4">
        <f>COUNTIFS(Stories!$B$2:$B$234,A25,Stories!$H$2:$H$234,"Fail")</f>
        <v/>
      </c>
    </row>
    <row r="26">
      <c r="A26" s="4" t="inlineStr">
        <is>
          <t>API: Telegram</t>
        </is>
      </c>
      <c r="B26" s="4">
        <f>COUNTIF(Stories!$B$2:$B$234,A26)</f>
        <v/>
      </c>
      <c r="C26" s="4">
        <f>COUNTIFS(Stories!$B$2:$B$234,A26,Stories!$H$2:$H$234,"Pass")+COUNTIFS(Stories!$B$2:$B$234,A26,Stories!$H$2:$H$234,"Pass (after fix)")</f>
        <v/>
      </c>
      <c r="D26" s="4">
        <f>COUNTIFS(Stories!$B$2:$B$234,A26,Stories!$H$2:$H$234,"Fail")</f>
        <v/>
      </c>
    </row>
    <row r="27">
      <c r="A27" s="4" t="inlineStr">
        <is>
          <t>Config: Bootstrap</t>
        </is>
      </c>
      <c r="B27" s="4">
        <f>COUNTIF(Stories!$B$2:$B$234,A27)</f>
        <v/>
      </c>
      <c r="C27" s="4">
        <f>COUNTIFS(Stories!$B$2:$B$234,A27,Stories!$H$2:$H$234,"Pass")+COUNTIFS(Stories!$B$2:$B$234,A27,Stories!$H$2:$H$234,"Pass (after fix)")</f>
        <v/>
      </c>
      <c r="D27" s="4">
        <f>COUNTIFS(Stories!$B$2:$B$234,A27,Stories!$H$2:$H$234,"Fail")</f>
        <v/>
      </c>
    </row>
    <row r="28">
      <c r="A28" s="4" t="inlineStr">
        <is>
          <t>Config: Env</t>
        </is>
      </c>
      <c r="B28" s="4">
        <f>COUNTIF(Stories!$B$2:$B$234,A28)</f>
        <v/>
      </c>
      <c r="C28" s="4">
        <f>COUNTIFS(Stories!$B$2:$B$234,A28,Stories!$H$2:$H$234,"Pass")+COUNTIFS(Stories!$B$2:$B$234,A28,Stories!$H$2:$H$234,"Pass (after fix)")</f>
        <v/>
      </c>
      <c r="D28" s="4">
        <f>COUNTIFS(Stories!$B$2:$B$234,A28,Stories!$H$2:$H$234,"Fail")</f>
        <v/>
      </c>
    </row>
    <row r="29">
      <c r="A29" s="4" t="inlineStr">
        <is>
          <t>Integration: CLI backends</t>
        </is>
      </c>
      <c r="B29" s="4">
        <f>COUNTIF(Stories!$B$2:$B$234,A29)</f>
        <v/>
      </c>
      <c r="C29" s="4">
        <f>COUNTIFS(Stories!$B$2:$B$234,A29,Stories!$H$2:$H$234,"Pass")+COUNTIFS(Stories!$B$2:$B$234,A29,Stories!$H$2:$H$234,"Pass (after fix)")</f>
        <v/>
      </c>
      <c r="D29" s="4">
        <f>COUNTIFS(Stories!$B$2:$B$234,A29,Stories!$H$2:$H$234,"Fail")</f>
        <v/>
      </c>
    </row>
    <row r="30">
      <c r="A30" s="4" t="inlineStr">
        <is>
          <t>Integration: Telegram bot</t>
        </is>
      </c>
      <c r="B30" s="4">
        <f>COUNTIF(Stories!$B$2:$B$234,A30)</f>
        <v/>
      </c>
      <c r="C30" s="4">
        <f>COUNTIFS(Stories!$B$2:$B$234,A30,Stories!$H$2:$H$234,"Pass")+COUNTIFS(Stories!$B$2:$B$234,A30,Stories!$H$2:$H$234,"Pass (after fix)")</f>
        <v/>
      </c>
      <c r="D30" s="4">
        <f>COUNTIFS(Stories!$B$2:$B$234,A30,Stories!$H$2:$H$234,"Fail")</f>
        <v/>
      </c>
    </row>
    <row r="31">
      <c r="A31" s="4" t="inlineStr">
        <is>
          <t>Integration: Telegram notify</t>
        </is>
      </c>
      <c r="B31" s="4">
        <f>COUNTIF(Stories!$B$2:$B$234,A31)</f>
        <v/>
      </c>
      <c r="C31" s="4">
        <f>COUNTIFS(Stories!$B$2:$B$234,A31,Stories!$H$2:$H$234,"Pass")+COUNTIFS(Stories!$B$2:$B$234,A31,Stories!$H$2:$H$234,"Pass (after fix)")</f>
        <v/>
      </c>
      <c r="D31" s="4">
        <f>COUNTIFS(Stories!$B$2:$B$234,A31,Stories!$H$2:$H$234,"Fail")</f>
        <v/>
      </c>
    </row>
    <row r="32">
      <c r="A32" s="4" t="inlineStr">
        <is>
          <t>Ops: Docker</t>
        </is>
      </c>
      <c r="B32" s="4">
        <f>COUNTIF(Stories!$B$2:$B$234,A32)</f>
        <v/>
      </c>
      <c r="C32" s="4">
        <f>COUNTIFS(Stories!$B$2:$B$234,A32,Stories!$H$2:$H$234,"Pass")+COUNTIFS(Stories!$B$2:$B$234,A32,Stories!$H$2:$H$234,"Pass (after fix)")</f>
        <v/>
      </c>
      <c r="D32" s="4">
        <f>COUNTIFS(Stories!$B$2:$B$234,A32,Stories!$H$2:$H$234,"Fail")</f>
        <v/>
      </c>
    </row>
    <row r="33">
      <c r="A33" s="4" t="inlineStr">
        <is>
          <t>Ops: Migrations</t>
        </is>
      </c>
      <c r="B33" s="4">
        <f>COUNTIF(Stories!$B$2:$B$234,A33)</f>
        <v/>
      </c>
      <c r="C33" s="4">
        <f>COUNTIFS(Stories!$B$2:$B$234,A33,Stories!$H$2:$H$234,"Pass")+COUNTIFS(Stories!$B$2:$B$234,A33,Stories!$H$2:$H$234,"Pass (after fix)")</f>
        <v/>
      </c>
      <c r="D33" s="4">
        <f>COUNTIFS(Stories!$B$2:$B$234,A33,Stories!$H$2:$H$234,"Fail")</f>
        <v/>
      </c>
    </row>
    <row r="34">
      <c r="A34" s="4" t="inlineStr">
        <is>
          <t>Ops: Onboarding</t>
        </is>
      </c>
      <c r="B34" s="4">
        <f>COUNTIF(Stories!$B$2:$B$234,A34)</f>
        <v/>
      </c>
      <c r="C34" s="4">
        <f>COUNTIFS(Stories!$B$2:$B$234,A34,Stories!$H$2:$H$234,"Pass")+COUNTIFS(Stories!$B$2:$B$234,A34,Stories!$H$2:$H$234,"Pass (after fix)")</f>
        <v/>
      </c>
      <c r="D34" s="4">
        <f>COUNTIFS(Stories!$B$2:$B$234,A34,Stories!$H$2:$H$234,"Fail")</f>
        <v/>
      </c>
    </row>
    <row r="35">
      <c r="A35" s="4" t="inlineStr">
        <is>
          <t>Pipeline: Alerts</t>
        </is>
      </c>
      <c r="B35" s="4">
        <f>COUNTIF(Stories!$B$2:$B$234,A35)</f>
        <v/>
      </c>
      <c r="C35" s="4">
        <f>COUNTIFS(Stories!$B$2:$B$234,A35,Stories!$H$2:$H$234,"Pass")+COUNTIFS(Stories!$B$2:$B$234,A35,Stories!$H$2:$H$234,"Pass (after fix)")</f>
        <v/>
      </c>
      <c r="D35" s="4">
        <f>COUNTIFS(Stories!$B$2:$B$234,A35,Stories!$H$2:$H$234,"Fail")</f>
        <v/>
      </c>
    </row>
    <row r="36">
      <c r="A36" s="4" t="inlineStr">
        <is>
          <t>Pipeline: Buffer</t>
        </is>
      </c>
      <c r="B36" s="4">
        <f>COUNTIF(Stories!$B$2:$B$234,A36)</f>
        <v/>
      </c>
      <c r="C36" s="4">
        <f>COUNTIFS(Stories!$B$2:$B$234,A36,Stories!$H$2:$H$234,"Pass")+COUNTIFS(Stories!$B$2:$B$234,A36,Stories!$H$2:$H$234,"Pass (after fix)")</f>
        <v/>
      </c>
      <c r="D36" s="4">
        <f>COUNTIFS(Stories!$B$2:$B$234,A36,Stories!$H$2:$H$234,"Fail")</f>
        <v/>
      </c>
    </row>
    <row r="37">
      <c r="A37" s="4" t="inlineStr">
        <is>
          <t>Pipeline: LLM</t>
        </is>
      </c>
      <c r="B37" s="4">
        <f>COUNTIF(Stories!$B$2:$B$234,A37)</f>
        <v/>
      </c>
      <c r="C37" s="4">
        <f>COUNTIFS(Stories!$B$2:$B$234,A37,Stories!$H$2:$H$234,"Pass")+COUNTIFS(Stories!$B$2:$B$234,A37,Stories!$H$2:$H$234,"Pass (after fix)")</f>
        <v/>
      </c>
      <c r="D37" s="4">
        <f>COUNTIFS(Stories!$B$2:$B$234,A37,Stories!$H$2:$H$234,"Fail")</f>
        <v/>
      </c>
    </row>
    <row r="38">
      <c r="A38" s="4" t="inlineStr">
        <is>
          <t>Pipeline: Prefilter</t>
        </is>
      </c>
      <c r="B38" s="4">
        <f>COUNTIF(Stories!$B$2:$B$234,A38)</f>
        <v/>
      </c>
      <c r="C38" s="4">
        <f>COUNTIFS(Stories!$B$2:$B$234,A38,Stories!$H$2:$H$234,"Pass")+COUNTIFS(Stories!$B$2:$B$234,A38,Stories!$H$2:$H$234,"Pass (after fix)")</f>
        <v/>
      </c>
      <c r="D38" s="4">
        <f>COUNTIFS(Stories!$B$2:$B$234,A38,Stories!$H$2:$H$234,"Fail")</f>
        <v/>
      </c>
    </row>
    <row r="39">
      <c r="A39" s="4" t="inlineStr">
        <is>
          <t>Pipeline: Scheduler</t>
        </is>
      </c>
      <c r="B39" s="4">
        <f>COUNTIF(Stories!$B$2:$B$234,A39)</f>
        <v/>
      </c>
      <c r="C39" s="4">
        <f>COUNTIFS(Stories!$B$2:$B$234,A39,Stories!$H$2:$H$234,"Pass")+COUNTIFS(Stories!$B$2:$B$234,A39,Stories!$H$2:$H$234,"Pass (after fix)")</f>
        <v/>
      </c>
      <c r="D39" s="4">
        <f>COUNTIFS(Stories!$B$2:$B$234,A39,Stories!$H$2:$H$234,"Fail")</f>
        <v/>
      </c>
    </row>
    <row r="40">
      <c r="A40" s="4" t="inlineStr">
        <is>
          <t>Pipeline: Triage</t>
        </is>
      </c>
      <c r="B40" s="4">
        <f>COUNTIF(Stories!$B$2:$B$234,A40)</f>
        <v/>
      </c>
      <c r="C40" s="4">
        <f>COUNTIFS(Stories!$B$2:$B$234,A40,Stories!$H$2:$H$234,"Pass")+COUNTIFS(Stories!$B$2:$B$234,A40,Stories!$H$2:$H$234,"Pass (after fix)")</f>
        <v/>
      </c>
      <c r="D40" s="4">
        <f>COUNTIFS(Stories!$B$2:$B$234,A40,Stories!$H$2:$H$234,"Fail")</f>
        <v/>
      </c>
    </row>
    <row r="41">
      <c r="A41" s="4" t="inlineStr">
        <is>
          <t>Pipeline: Watcher</t>
        </is>
      </c>
      <c r="B41" s="4">
        <f>COUNTIF(Stories!$B$2:$B$234,A41)</f>
        <v/>
      </c>
      <c r="C41" s="4">
        <f>COUNTIFS(Stories!$B$2:$B$234,A41,Stories!$H$2:$H$234,"Pass")+COUNTIFS(Stories!$B$2:$B$234,A41,Stories!$H$2:$H$234,"Pass (after fix)")</f>
        <v/>
      </c>
      <c r="D41" s="4">
        <f>COUNTIFS(Stories!$B$2:$B$234,A41,Stories!$H$2:$H$234,"Fail")</f>
        <v/>
      </c>
    </row>
    <row r="42">
      <c r="A42" s="4" t="inlineStr">
        <is>
          <t>UI: Dashboard</t>
        </is>
      </c>
      <c r="B42" s="4">
        <f>COUNTIF(Stories!$B$2:$B$234,A42)</f>
        <v/>
      </c>
      <c r="C42" s="4">
        <f>COUNTIFS(Stories!$B$2:$B$234,A42,Stories!$H$2:$H$234,"Pass")+COUNTIFS(Stories!$B$2:$B$234,A42,Stories!$H$2:$H$234,"Pass (after fix)")</f>
        <v/>
      </c>
      <c r="D42" s="4">
        <f>COUNTIFS(Stories!$B$2:$B$234,A42,Stories!$H$2:$H$234,"Fail")</f>
        <v/>
      </c>
    </row>
    <row r="43">
      <c r="A43" s="4" t="inlineStr">
        <is>
          <t>UI: Events</t>
        </is>
      </c>
      <c r="B43" s="4">
        <f>COUNTIF(Stories!$B$2:$B$234,A43)</f>
        <v/>
      </c>
      <c r="C43" s="4">
        <f>COUNTIFS(Stories!$B$2:$B$234,A43,Stories!$H$2:$H$234,"Pass")+COUNTIFS(Stories!$B$2:$B$234,A43,Stories!$H$2:$H$234,"Pass (after fix)")</f>
        <v/>
      </c>
      <c r="D43" s="4">
        <f>COUNTIFS(Stories!$B$2:$B$234,A43,Stories!$H$2:$H$234,"Fail")</f>
        <v/>
      </c>
    </row>
    <row r="44">
      <c r="A44" s="4" t="inlineStr">
        <is>
          <t>UI: Exclusions</t>
        </is>
      </c>
      <c r="B44" s="4">
        <f>COUNTIF(Stories!$B$2:$B$234,A44)</f>
        <v/>
      </c>
      <c r="C44" s="4">
        <f>COUNTIFS(Stories!$B$2:$B$234,A44,Stories!$H$2:$H$234,"Pass")+COUNTIFS(Stories!$B$2:$B$234,A44,Stories!$H$2:$H$234,"Pass (after fix)")</f>
        <v/>
      </c>
      <c r="D44" s="4">
        <f>COUNTIFS(Stories!$B$2:$B$234,A44,Stories!$H$2:$H$234,"Fail")</f>
        <v/>
      </c>
    </row>
    <row r="45">
      <c r="A45" s="4" t="inlineStr">
        <is>
          <t>UI: Issues</t>
        </is>
      </c>
      <c r="B45" s="4">
        <f>COUNTIF(Stories!$B$2:$B$234,A45)</f>
        <v/>
      </c>
      <c r="C45" s="4">
        <f>COUNTIFS(Stories!$B$2:$B$234,A45,Stories!$H$2:$H$234,"Pass")+COUNTIFS(Stories!$B$2:$B$234,A45,Stories!$H$2:$H$234,"Pass (after fix)")</f>
        <v/>
      </c>
      <c r="D45" s="4">
        <f>COUNTIFS(Stories!$B$2:$B$234,A45,Stories!$H$2:$H$234,"Fail")</f>
        <v/>
      </c>
    </row>
    <row r="46">
      <c r="A46" s="4" t="inlineStr">
        <is>
          <t>UI: Prompts</t>
        </is>
      </c>
      <c r="B46" s="4">
        <f>COUNTIF(Stories!$B$2:$B$234,A46)</f>
        <v/>
      </c>
      <c r="C46" s="4">
        <f>COUNTIFS(Stories!$B$2:$B$234,A46,Stories!$H$2:$H$234,"Pass")+COUNTIFS(Stories!$B$2:$B$234,A46,Stories!$H$2:$H$234,"Pass (after fix)")</f>
        <v/>
      </c>
      <c r="D46" s="4">
        <f>COUNTIFS(Stories!$B$2:$B$234,A46,Stories!$H$2:$H$234,"Fail")</f>
        <v/>
      </c>
    </row>
    <row r="47">
      <c r="A47" s="4" t="inlineStr">
        <is>
          <t>UI: Reports</t>
        </is>
      </c>
      <c r="B47" s="4">
        <f>COUNTIF(Stories!$B$2:$B$234,A47)</f>
        <v/>
      </c>
      <c r="C47" s="4">
        <f>COUNTIFS(Stories!$B$2:$B$234,A47,Stories!$H$2:$H$234,"Pass")+COUNTIFS(Stories!$B$2:$B$234,A47,Stories!$H$2:$H$234,"Pass (after fix)")</f>
        <v/>
      </c>
      <c r="D47" s="4">
        <f>COUNTIFS(Stories!$B$2:$B$234,A47,Stories!$H$2:$H$234,"Fail")</f>
        <v/>
      </c>
    </row>
    <row r="48">
      <c r="A48" s="4" t="inlineStr">
        <is>
          <t>UI: Settings</t>
        </is>
      </c>
      <c r="B48" s="4">
        <f>COUNTIF(Stories!$B$2:$B$234,A48)</f>
        <v/>
      </c>
      <c r="C48" s="4">
        <f>COUNTIFS(Stories!$B$2:$B$234,A48,Stories!$H$2:$H$234,"Pass")+COUNTIFS(Stories!$B$2:$B$234,A48,Stories!$H$2:$H$234,"Pass (after fix)")</f>
        <v/>
      </c>
      <c r="D48" s="4">
        <f>COUNTIFS(Stories!$B$2:$B$234,A48,Stories!$H$2:$H$234,"Fail")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2026-08-15T20:16:59Z</dcterms:created>
  <dcterms:modified xsi:type="dcterms:W3CDTF">2026-08-15T20:23:08Z</dcterms:modified>
</cp:coreProperties>
</file>