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Pass (after fix)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>
        <is>
          <t>CTA present in every empty state (verified issues?status=closed 'Show all'; exclusions template has 'Add a pattern')</t>
        </is>
      </c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Blocked (needs docker/LLM/Telegram)</t>
        </is>
      </c>
      <c r="I80" s="2" t="inlineStr">
        <is>
          <t>No reachable LLM. POST /api/settings/test-llm -&gt; 400 {"ok":false,"error":"[Errno 8] nodename nor servname provided, or not known"} (fallback passes). Success path unverified.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Blocked (needs docker/LLM/Telegram)</t>
        </is>
      </c>
      <c r="I95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Blocked (needs docker/LLM/Telegram)</t>
        </is>
      </c>
      <c r="I102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Blocked (needs docker/LLM/Telegram)</t>
        </is>
      </c>
      <c r="I103" s="2" t="inlineStr">
        <is>
          <t>No Telegram creds. POST /api/telegram/test -&gt; 400 {"ok":false,"error":"telegram credentials are not configured"} (fallback passes).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Blocked (needs docker/LLM/Telegram)</t>
        </is>
      </c>
      <c r="I104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Blocked (needs docker/LLM/Telegram)</t>
        </is>
      </c>
      <c r="I110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Pass (after fix)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>
        <is>
          <t>updated_at now ISO-8601 (2026-08-15T20:36:56)</t>
        </is>
      </c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Pass (after fix)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>
        <is>
          <t>SESSION_COOKIE_SAMESITE == 'Lax'</t>
        </is>
      </c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 (after fix)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>
        <is>
          <t>tests/test_llm_client.py: no Authorization header for blank key; extra_body merged</t>
        </is>
      </c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Pass (after fix)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>
        <is>
          <t>regression test passes: bot uses SENTINEL_SYSTEM content, single system message</t>
        </is>
      </c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Blocked (needs docker/LLM/Telegram)</t>
        </is>
      </c>
      <c r="I222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Blocked (needs docker/LLM/Telegram)</t>
        </is>
      </c>
      <c r="I223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Blocked (needs docker/LLM/Telegram)</t>
        </is>
      </c>
      <c r="I224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Blocked (needs docker/LLM/Telegram)</t>
        </is>
      </c>
      <c r="I225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Blocked (needs docker/LLM/Telegram)</t>
        </is>
      </c>
      <c r="I226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Blocked (needs docker/LLM/Telegram)</t>
        </is>
      </c>
      <c r="I227" s="2" t="inlineStr">
        <is>
          <t>Static: both compose files mount /var/run/docker.sock:/var/run/docker.sock:ro and docksentinel_data:/data with named volume declared. docker inspect not run.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Blocked (needs docker/LLM/Telegram)</t>
        </is>
      </c>
      <c r="I228" s="2" t="inlineStr">
        <is>
          <t>Static: both compose files declare extra_hosts 'host.docker.internal:host-gateway'. getent inside container not run.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Blocked (needs docker/LLM/Telegram)</t>
        </is>
      </c>
      <c r="I229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Blocked (needs docker/LLM/Telegram)</t>
        </is>
      </c>
      <c r="I237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Blocked (needs docker/LLM/Telegram)</t>
        </is>
      </c>
      <c r="I238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Pass (after fix)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>
        <is>
          <t>README now says alembic upgrade head before first flask run</t>
        </is>
      </c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Pass (after fix)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>
        <is>
          <t>/insights times render 'YYYY-MM-DD HH:MM:SS'</t>
        </is>
      </c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Pass (after fix)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>
        <is>
          <t>llm_error row shows 'error' badge; unclassified '—'</t>
        </is>
      </c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Pass (after fix)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>
        <is>
          <t>/issues?id=2 renders &lt;h1&gt; from body markdown</t>
        </is>
      </c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Pass (after fix)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>
        <is>
          <t>pristine state: 0 checklist items ticked; ticks after test-llm succeeds</t>
        </is>
      </c>
      <c r="M246" s="2" t="inlineStr">
        <is>
          <t>2026-08-15</t>
        </is>
      </c>
    </row>
  </sheetData>
  <autoFilter ref="A1:M246"/>
  <dataValidations count="1">
    <dataValidation sqref="H2:H246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COUNTIF(Stories!$H$2:$H$246,A2)</f>
        <v/>
      </c>
      <c r="C2" s="4" t="n"/>
      <c r="D2" s="4" t="n"/>
    </row>
    <row r="3">
      <c r="A3" s="4" t="inlineStr">
        <is>
          <t>Pass</t>
        </is>
      </c>
      <c r="B3" s="4">
        <f>COUNTIF(Stories!$H$2:$H$246,A3)</f>
        <v/>
      </c>
      <c r="C3" s="4" t="n"/>
      <c r="D3" s="4" t="n"/>
    </row>
    <row r="4">
      <c r="A4" s="4" t="inlineStr">
        <is>
          <t>Fail</t>
        </is>
      </c>
      <c r="B4" s="4">
        <f>COUNTIF(Stories!$H$2:$H$246,A4)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COUNTIF(Stories!$H$2:$H$246,A5)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COUNTIF(Stories!$H$2:$H$246,A6)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COUNTIF(Stories!$H$2:$H$246,A7)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COUNTIF(Stories!$H$2:$H$246,A8)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COUNTA(Stories!$A$2:$A$246)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COUNTIF(Stories!$B$2:$B$246,A14)</f>
        <v/>
      </c>
      <c r="C14" s="4">
        <f>COUNTIFS(Stories!$B$2:$B$246,A14,Stories!$H$2:$H$246,"Pass")+COUNTIFS(Stories!$B$2:$B$246,A14,Stories!$H$2:$H$246,"Pass (after fix)")</f>
        <v/>
      </c>
      <c r="D14" s="4">
        <f>COUNTIFS(Stories!$B$2:$B$246,A14,Stories!$H$2:$H$246,"Fail")</f>
        <v/>
      </c>
    </row>
    <row r="15">
      <c r="A15" s="4" t="inlineStr">
        <is>
          <t>API: Exclusions</t>
        </is>
      </c>
      <c r="B15" s="4">
        <f>COUNTIF(Stories!$B$2:$B$246,A15)</f>
        <v/>
      </c>
      <c r="C15" s="4">
        <f>COUNTIFS(Stories!$B$2:$B$246,A15,Stories!$H$2:$H$246,"Pass")+COUNTIFS(Stories!$B$2:$B$246,A15,Stories!$H$2:$H$246,"Pass (after fix)")</f>
        <v/>
      </c>
      <c r="D15" s="4">
        <f>COUNTIFS(Stories!$B$2:$B$246,A15,Stories!$H$2:$H$246,"Fail")</f>
        <v/>
      </c>
    </row>
    <row r="16">
      <c r="A16" s="4" t="inlineStr">
        <is>
          <t>API: General</t>
        </is>
      </c>
      <c r="B16" s="4">
        <f>COUNTIF(Stories!$B$2:$B$246,A16)</f>
        <v/>
      </c>
      <c r="C16" s="4">
        <f>COUNTIFS(Stories!$B$2:$B$246,A16,Stories!$H$2:$H$246,"Pass")+COUNTIFS(Stories!$B$2:$B$246,A16,Stories!$H$2:$H$246,"Pass (after fix)")</f>
        <v/>
      </c>
      <c r="D16" s="4">
        <f>COUNTIFS(Stories!$B$2:$B$246,A16,Stories!$H$2:$H$246,"Fail")</f>
        <v/>
      </c>
    </row>
    <row r="17">
      <c r="A17" s="4" t="inlineStr">
        <is>
          <t>API: Health</t>
        </is>
      </c>
      <c r="B17" s="4">
        <f>COUNTIF(Stories!$B$2:$B$246,A17)</f>
        <v/>
      </c>
      <c r="C17" s="4">
        <f>COUNTIFS(Stories!$B$2:$B$246,A17,Stories!$H$2:$H$246,"Pass")+COUNTIFS(Stories!$B$2:$B$246,A17,Stories!$H$2:$H$246,"Pass (after fix)")</f>
        <v/>
      </c>
      <c r="D17" s="4">
        <f>COUNTIFS(Stories!$B$2:$B$246,A17,Stories!$H$2:$H$246,"Fail")</f>
        <v/>
      </c>
    </row>
    <row r="18">
      <c r="A18" s="4" t="inlineStr">
        <is>
          <t>API: Insights</t>
        </is>
      </c>
      <c r="B18" s="4">
        <f>COUNTIF(Stories!$B$2:$B$246,A18)</f>
        <v/>
      </c>
      <c r="C18" s="4">
        <f>COUNTIFS(Stories!$B$2:$B$246,A18,Stories!$H$2:$H$246,"Pass")+COUNTIFS(Stories!$B$2:$B$246,A18,Stories!$H$2:$H$246,"Pass (after fix)")</f>
        <v/>
      </c>
      <c r="D18" s="4">
        <f>COUNTIFS(Stories!$B$2:$B$246,A18,Stories!$H$2:$H$246,"Fail")</f>
        <v/>
      </c>
    </row>
    <row r="19">
      <c r="A19" s="4" t="inlineStr">
        <is>
          <t>API: Issues</t>
        </is>
      </c>
      <c r="B19" s="4">
        <f>COUNTIF(Stories!$B$2:$B$246,A19)</f>
        <v/>
      </c>
      <c r="C19" s="4">
        <f>COUNTIFS(Stories!$B$2:$B$246,A19,Stories!$H$2:$H$246,"Pass")+COUNTIFS(Stories!$B$2:$B$246,A19,Stories!$H$2:$H$246,"Pass (after fix)")</f>
        <v/>
      </c>
      <c r="D19" s="4">
        <f>COUNTIFS(Stories!$B$2:$B$246,A19,Stories!$H$2:$H$246,"Fail")</f>
        <v/>
      </c>
    </row>
    <row r="20">
      <c r="A20" s="4" t="inlineStr">
        <is>
          <t>API: Ollama</t>
        </is>
      </c>
      <c r="B20" s="4">
        <f>COUNTIF(Stories!$B$2:$B$246,A20)</f>
        <v/>
      </c>
      <c r="C20" s="4">
        <f>COUNTIFS(Stories!$B$2:$B$246,A20,Stories!$H$2:$H$246,"Pass")+COUNTIFS(Stories!$B$2:$B$246,A20,Stories!$H$2:$H$246,"Pass (after fix)")</f>
        <v/>
      </c>
      <c r="D20" s="4">
        <f>COUNTIFS(Stories!$B$2:$B$246,A20,Stories!$H$2:$H$246,"Fail")</f>
        <v/>
      </c>
    </row>
    <row r="21">
      <c r="A21" s="4" t="inlineStr">
        <is>
          <t>API: Prompts</t>
        </is>
      </c>
      <c r="B21" s="4">
        <f>COUNTIF(Stories!$B$2:$B$246,A21)</f>
        <v/>
      </c>
      <c r="C21" s="4">
        <f>COUNTIFS(Stories!$B$2:$B$246,A21,Stories!$H$2:$H$246,"Pass")+COUNTIFS(Stories!$B$2:$B$246,A21,Stories!$H$2:$H$246,"Pass (after fix)")</f>
        <v/>
      </c>
      <c r="D21" s="4">
        <f>COUNTIFS(Stories!$B$2:$B$246,A21,Stories!$H$2:$H$246,"Fail")</f>
        <v/>
      </c>
    </row>
    <row r="22">
      <c r="A22" s="4" t="inlineStr">
        <is>
          <t>API: Reports</t>
        </is>
      </c>
      <c r="B22" s="4">
        <f>COUNTIF(Stories!$B$2:$B$246,A22)</f>
        <v/>
      </c>
      <c r="C22" s="4">
        <f>COUNTIFS(Stories!$B$2:$B$246,A22,Stories!$H$2:$H$246,"Pass")+COUNTIFS(Stories!$B$2:$B$246,A22,Stories!$H$2:$H$246,"Pass (after fix)")</f>
        <v/>
      </c>
      <c r="D22" s="4">
        <f>COUNTIFS(Stories!$B$2:$B$246,A22,Stories!$H$2:$H$246,"Fail")</f>
        <v/>
      </c>
    </row>
    <row r="23">
      <c r="A23" s="4" t="inlineStr">
        <is>
          <t>API: Security</t>
        </is>
      </c>
      <c r="B23" s="4">
        <f>COUNTIF(Stories!$B$2:$B$246,A23)</f>
        <v/>
      </c>
      <c r="C23" s="4">
        <f>COUNTIFS(Stories!$B$2:$B$246,A23,Stories!$H$2:$H$246,"Pass")+COUNTIFS(Stories!$B$2:$B$246,A23,Stories!$H$2:$H$246,"Pass (after fix)")</f>
        <v/>
      </c>
      <c r="D23" s="4">
        <f>COUNTIFS(Stories!$B$2:$B$246,A23,Stories!$H$2:$H$246,"Fail")</f>
        <v/>
      </c>
    </row>
    <row r="24">
      <c r="A24" s="4" t="inlineStr">
        <is>
          <t>API: Sentinel</t>
        </is>
      </c>
      <c r="B24" s="4">
        <f>COUNTIF(Stories!$B$2:$B$246,A24)</f>
        <v/>
      </c>
      <c r="C24" s="4">
        <f>COUNTIFS(Stories!$B$2:$B$246,A24,Stories!$H$2:$H$246,"Pass")+COUNTIFS(Stories!$B$2:$B$246,A24,Stories!$H$2:$H$246,"Pass (after fix)")</f>
        <v/>
      </c>
      <c r="D24" s="4">
        <f>COUNTIFS(Stories!$B$2:$B$246,A24,Stories!$H$2:$H$246,"Fail")</f>
        <v/>
      </c>
    </row>
    <row r="25">
      <c r="A25" s="4" t="inlineStr">
        <is>
          <t>API: Settings</t>
        </is>
      </c>
      <c r="B25" s="4">
        <f>COUNTIF(Stories!$B$2:$B$246,A25)</f>
        <v/>
      </c>
      <c r="C25" s="4">
        <f>COUNTIFS(Stories!$B$2:$B$246,A25,Stories!$H$2:$H$246,"Pass")+COUNTIFS(Stories!$B$2:$B$246,A25,Stories!$H$2:$H$246,"Pass (after fix)")</f>
        <v/>
      </c>
      <c r="D25" s="4">
        <f>COUNTIFS(Stories!$B$2:$B$246,A25,Stories!$H$2:$H$246,"Fail")</f>
        <v/>
      </c>
    </row>
    <row r="26">
      <c r="A26" s="4" t="inlineStr">
        <is>
          <t>API: Telegram</t>
        </is>
      </c>
      <c r="B26" s="4">
        <f>COUNTIF(Stories!$B$2:$B$246,A26)</f>
        <v/>
      </c>
      <c r="C26" s="4">
        <f>COUNTIFS(Stories!$B$2:$B$246,A26,Stories!$H$2:$H$246,"Pass")+COUNTIFS(Stories!$B$2:$B$246,A26,Stories!$H$2:$H$246,"Pass (after fix)")</f>
        <v/>
      </c>
      <c r="D26" s="4">
        <f>COUNTIFS(Stories!$B$2:$B$246,A26,Stories!$H$2:$H$246,"Fail")</f>
        <v/>
      </c>
    </row>
    <row r="27">
      <c r="A27" s="4" t="inlineStr">
        <is>
          <t>Config: Bootstrap</t>
        </is>
      </c>
      <c r="B27" s="4">
        <f>COUNTIF(Stories!$B$2:$B$246,A27)</f>
        <v/>
      </c>
      <c r="C27" s="4">
        <f>COUNTIFS(Stories!$B$2:$B$246,A27,Stories!$H$2:$H$246,"Pass")+COUNTIFS(Stories!$B$2:$B$246,A27,Stories!$H$2:$H$246,"Pass (after fix)")</f>
        <v/>
      </c>
      <c r="D27" s="4">
        <f>COUNTIFS(Stories!$B$2:$B$246,A27,Stories!$H$2:$H$246,"Fail")</f>
        <v/>
      </c>
    </row>
    <row r="28">
      <c r="A28" s="4" t="inlineStr">
        <is>
          <t>Config: Env</t>
        </is>
      </c>
      <c r="B28" s="4">
        <f>COUNTIF(Stories!$B$2:$B$246,A28)</f>
        <v/>
      </c>
      <c r="C28" s="4">
        <f>COUNTIFS(Stories!$B$2:$B$246,A28,Stories!$H$2:$H$246,"Pass")+COUNTIFS(Stories!$B$2:$B$246,A28,Stories!$H$2:$H$246,"Pass (after fix)")</f>
        <v/>
      </c>
      <c r="D28" s="4">
        <f>COUNTIFS(Stories!$B$2:$B$246,A28,Stories!$H$2:$H$246,"Fail")</f>
        <v/>
      </c>
    </row>
    <row r="29">
      <c r="A29" s="4" t="inlineStr">
        <is>
          <t>Integration: CLI backends</t>
        </is>
      </c>
      <c r="B29" s="4">
        <f>COUNTIF(Stories!$B$2:$B$246,A29)</f>
        <v/>
      </c>
      <c r="C29" s="4">
        <f>COUNTIFS(Stories!$B$2:$B$246,A29,Stories!$H$2:$H$246,"Pass")+COUNTIFS(Stories!$B$2:$B$246,A29,Stories!$H$2:$H$246,"Pass (after fix)")</f>
        <v/>
      </c>
      <c r="D29" s="4">
        <f>COUNTIFS(Stories!$B$2:$B$246,A29,Stories!$H$2:$H$246,"Fail")</f>
        <v/>
      </c>
    </row>
    <row r="30">
      <c r="A30" s="4" t="inlineStr">
        <is>
          <t>Integration: Telegram bot</t>
        </is>
      </c>
      <c r="B30" s="4">
        <f>COUNTIF(Stories!$B$2:$B$246,A30)</f>
        <v/>
      </c>
      <c r="C30" s="4">
        <f>COUNTIFS(Stories!$B$2:$B$246,A30,Stories!$H$2:$H$246,"Pass")+COUNTIFS(Stories!$B$2:$B$246,A30,Stories!$H$2:$H$246,"Pass (after fix)")</f>
        <v/>
      </c>
      <c r="D30" s="4">
        <f>COUNTIFS(Stories!$B$2:$B$246,A30,Stories!$H$2:$H$246,"Fail")</f>
        <v/>
      </c>
    </row>
    <row r="31">
      <c r="A31" s="4" t="inlineStr">
        <is>
          <t>Integration: Telegram notify</t>
        </is>
      </c>
      <c r="B31" s="4">
        <f>COUNTIF(Stories!$B$2:$B$246,A31)</f>
        <v/>
      </c>
      <c r="C31" s="4">
        <f>COUNTIFS(Stories!$B$2:$B$246,A31,Stories!$H$2:$H$246,"Pass")+COUNTIFS(Stories!$B$2:$B$246,A31,Stories!$H$2:$H$246,"Pass (after fix)")</f>
        <v/>
      </c>
      <c r="D31" s="4">
        <f>COUNTIFS(Stories!$B$2:$B$246,A31,Stories!$H$2:$H$246,"Fail")</f>
        <v/>
      </c>
    </row>
    <row r="32">
      <c r="A32" s="4" t="inlineStr">
        <is>
          <t>Ops: Docker</t>
        </is>
      </c>
      <c r="B32" s="4">
        <f>COUNTIF(Stories!$B$2:$B$246,A32)</f>
        <v/>
      </c>
      <c r="C32" s="4">
        <f>COUNTIFS(Stories!$B$2:$B$246,A32,Stories!$H$2:$H$246,"Pass")+COUNTIFS(Stories!$B$2:$B$246,A32,Stories!$H$2:$H$246,"Pass (after fix)")</f>
        <v/>
      </c>
      <c r="D32" s="4">
        <f>COUNTIFS(Stories!$B$2:$B$246,A32,Stories!$H$2:$H$246,"Fail")</f>
        <v/>
      </c>
    </row>
    <row r="33">
      <c r="A33" s="4" t="inlineStr">
        <is>
          <t>Ops: Migrations</t>
        </is>
      </c>
      <c r="B33" s="4">
        <f>COUNTIF(Stories!$B$2:$B$246,A33)</f>
        <v/>
      </c>
      <c r="C33" s="4">
        <f>COUNTIFS(Stories!$B$2:$B$246,A33,Stories!$H$2:$H$246,"Pass")+COUNTIFS(Stories!$B$2:$B$246,A33,Stories!$H$2:$H$246,"Pass (after fix)")</f>
        <v/>
      </c>
      <c r="D33" s="4">
        <f>COUNTIFS(Stories!$B$2:$B$246,A33,Stories!$H$2:$H$246,"Fail")</f>
        <v/>
      </c>
    </row>
    <row r="34">
      <c r="A34" s="4" t="inlineStr">
        <is>
          <t>Ops: Onboarding</t>
        </is>
      </c>
      <c r="B34" s="4">
        <f>COUNTIF(Stories!$B$2:$B$246,A34)</f>
        <v/>
      </c>
      <c r="C34" s="4">
        <f>COUNTIFS(Stories!$B$2:$B$246,A34,Stories!$H$2:$H$246,"Pass")+COUNTIFS(Stories!$B$2:$B$246,A34,Stories!$H$2:$H$246,"Pass (after fix)")</f>
        <v/>
      </c>
      <c r="D34" s="4">
        <f>COUNTIFS(Stories!$B$2:$B$246,A34,Stories!$H$2:$H$246,"Fail")</f>
        <v/>
      </c>
    </row>
    <row r="35">
      <c r="A35" s="4" t="inlineStr">
        <is>
          <t>Pipeline: Alerts</t>
        </is>
      </c>
      <c r="B35" s="4">
        <f>COUNTIF(Stories!$B$2:$B$246,A35)</f>
        <v/>
      </c>
      <c r="C35" s="4">
        <f>COUNTIFS(Stories!$B$2:$B$246,A35,Stories!$H$2:$H$246,"Pass")+COUNTIFS(Stories!$B$2:$B$246,A35,Stories!$H$2:$H$246,"Pass (after fix)")</f>
        <v/>
      </c>
      <c r="D35" s="4">
        <f>COUNTIFS(Stories!$B$2:$B$246,A35,Stories!$H$2:$H$246,"Fail")</f>
        <v/>
      </c>
    </row>
    <row r="36">
      <c r="A36" s="4" t="inlineStr">
        <is>
          <t>Pipeline: Buffer</t>
        </is>
      </c>
      <c r="B36" s="4">
        <f>COUNTIF(Stories!$B$2:$B$246,A36)</f>
        <v/>
      </c>
      <c r="C36" s="4">
        <f>COUNTIFS(Stories!$B$2:$B$246,A36,Stories!$H$2:$H$246,"Pass")+COUNTIFS(Stories!$B$2:$B$246,A36,Stories!$H$2:$H$246,"Pass (after fix)")</f>
        <v/>
      </c>
      <c r="D36" s="4">
        <f>COUNTIFS(Stories!$B$2:$B$246,A36,Stories!$H$2:$H$246,"Fail")</f>
        <v/>
      </c>
    </row>
    <row r="37">
      <c r="A37" s="4" t="inlineStr">
        <is>
          <t>Pipeline: LLM</t>
        </is>
      </c>
      <c r="B37" s="4">
        <f>COUNTIF(Stories!$B$2:$B$246,A37)</f>
        <v/>
      </c>
      <c r="C37" s="4">
        <f>COUNTIFS(Stories!$B$2:$B$246,A37,Stories!$H$2:$H$246,"Pass")+COUNTIFS(Stories!$B$2:$B$246,A37,Stories!$H$2:$H$246,"Pass (after fix)")</f>
        <v/>
      </c>
      <c r="D37" s="4">
        <f>COUNTIFS(Stories!$B$2:$B$246,A37,Stories!$H$2:$H$246,"Fail")</f>
        <v/>
      </c>
    </row>
    <row r="38">
      <c r="A38" s="4" t="inlineStr">
        <is>
          <t>Pipeline: Prefilter</t>
        </is>
      </c>
      <c r="B38" s="4">
        <f>COUNTIF(Stories!$B$2:$B$246,A38)</f>
        <v/>
      </c>
      <c r="C38" s="4">
        <f>COUNTIFS(Stories!$B$2:$B$246,A38,Stories!$H$2:$H$246,"Pass")+COUNTIFS(Stories!$B$2:$B$246,A38,Stories!$H$2:$H$246,"Pass (after fix)")</f>
        <v/>
      </c>
      <c r="D38" s="4">
        <f>COUNTIFS(Stories!$B$2:$B$246,A38,Stories!$H$2:$H$246,"Fail")</f>
        <v/>
      </c>
    </row>
    <row r="39">
      <c r="A39" s="4" t="inlineStr">
        <is>
          <t>Pipeline: Scheduler</t>
        </is>
      </c>
      <c r="B39" s="4">
        <f>COUNTIF(Stories!$B$2:$B$246,A39)</f>
        <v/>
      </c>
      <c r="C39" s="4">
        <f>COUNTIFS(Stories!$B$2:$B$246,A39,Stories!$H$2:$H$246,"Pass")+COUNTIFS(Stories!$B$2:$B$246,A39,Stories!$H$2:$H$246,"Pass (after fix)")</f>
        <v/>
      </c>
      <c r="D39" s="4">
        <f>COUNTIFS(Stories!$B$2:$B$246,A39,Stories!$H$2:$H$246,"Fail")</f>
        <v/>
      </c>
    </row>
    <row r="40">
      <c r="A40" s="4" t="inlineStr">
        <is>
          <t>Pipeline: Triage</t>
        </is>
      </c>
      <c r="B40" s="4">
        <f>COUNTIF(Stories!$B$2:$B$246,A40)</f>
        <v/>
      </c>
      <c r="C40" s="4">
        <f>COUNTIFS(Stories!$B$2:$B$246,A40,Stories!$H$2:$H$246,"Pass")+COUNTIFS(Stories!$B$2:$B$246,A40,Stories!$H$2:$H$246,"Pass (after fix)")</f>
        <v/>
      </c>
      <c r="D40" s="4">
        <f>COUNTIFS(Stories!$B$2:$B$246,A40,Stories!$H$2:$H$246,"Fail")</f>
        <v/>
      </c>
    </row>
    <row r="41">
      <c r="A41" s="4" t="inlineStr">
        <is>
          <t>Pipeline: Watcher</t>
        </is>
      </c>
      <c r="B41" s="4">
        <f>COUNTIF(Stories!$B$2:$B$246,A41)</f>
        <v/>
      </c>
      <c r="C41" s="4">
        <f>COUNTIFS(Stories!$B$2:$B$246,A41,Stories!$H$2:$H$246,"Pass")+COUNTIFS(Stories!$B$2:$B$246,A41,Stories!$H$2:$H$246,"Pass (after fix)")</f>
        <v/>
      </c>
      <c r="D41" s="4">
        <f>COUNTIFS(Stories!$B$2:$B$246,A41,Stories!$H$2:$H$246,"Fail")</f>
        <v/>
      </c>
    </row>
    <row r="42">
      <c r="A42" s="4" t="inlineStr">
        <is>
          <t>UI: Cross-cutting</t>
        </is>
      </c>
      <c r="B42" s="4">
        <f>COUNTIF(Stories!$B$2:$B$246,A42)</f>
        <v/>
      </c>
      <c r="C42" s="4">
        <f>COUNTIFS(Stories!$B$2:$B$246,A42,Stories!$H$2:$H$246,"Pass")+COUNTIFS(Stories!$B$2:$B$246,A42,Stories!$H$2:$H$246,"Pass (after fix)")</f>
        <v/>
      </c>
      <c r="D42" s="4">
        <f>COUNTIFS(Stories!$B$2:$B$246,A42,Stories!$H$2:$H$246,"Fail")</f>
        <v/>
      </c>
    </row>
    <row r="43">
      <c r="A43" s="4" t="inlineStr">
        <is>
          <t>UI: Dashboard</t>
        </is>
      </c>
      <c r="B43" s="4">
        <f>COUNTIF(Stories!$B$2:$B$246,A43)</f>
        <v/>
      </c>
      <c r="C43" s="4">
        <f>COUNTIFS(Stories!$B$2:$B$246,A43,Stories!$H$2:$H$246,"Pass")+COUNTIFS(Stories!$B$2:$B$246,A43,Stories!$H$2:$H$246,"Pass (after fix)")</f>
        <v/>
      </c>
      <c r="D43" s="4">
        <f>COUNTIFS(Stories!$B$2:$B$246,A43,Stories!$H$2:$H$246,"Fail")</f>
        <v/>
      </c>
    </row>
    <row r="44">
      <c r="A44" s="4" t="inlineStr">
        <is>
          <t>UI: Events</t>
        </is>
      </c>
      <c r="B44" s="4">
        <f>COUNTIF(Stories!$B$2:$B$246,A44)</f>
        <v/>
      </c>
      <c r="C44" s="4">
        <f>COUNTIFS(Stories!$B$2:$B$246,A44,Stories!$H$2:$H$246,"Pass")+COUNTIFS(Stories!$B$2:$B$246,A44,Stories!$H$2:$H$246,"Pass (after fix)")</f>
        <v/>
      </c>
      <c r="D44" s="4">
        <f>COUNTIFS(Stories!$B$2:$B$246,A44,Stories!$H$2:$H$246,"Fail")</f>
        <v/>
      </c>
    </row>
    <row r="45">
      <c r="A45" s="4" t="inlineStr">
        <is>
          <t>UI: Exclusions</t>
        </is>
      </c>
      <c r="B45" s="4">
        <f>COUNTIF(Stories!$B$2:$B$246,A45)</f>
        <v/>
      </c>
      <c r="C45" s="4">
        <f>COUNTIFS(Stories!$B$2:$B$246,A45,Stories!$H$2:$H$246,"Pass")+COUNTIFS(Stories!$B$2:$B$246,A45,Stories!$H$2:$H$246,"Pass (after fix)")</f>
        <v/>
      </c>
      <c r="D45" s="4">
        <f>COUNTIFS(Stories!$B$2:$B$246,A45,Stories!$H$2:$H$246,"Fail")</f>
        <v/>
      </c>
    </row>
    <row r="46">
      <c r="A46" s="4" t="inlineStr">
        <is>
          <t>UI: Global</t>
        </is>
      </c>
      <c r="B46" s="4">
        <f>COUNTIF(Stories!$B$2:$B$246,A46)</f>
        <v/>
      </c>
      <c r="C46" s="4">
        <f>COUNTIFS(Stories!$B$2:$B$246,A46,Stories!$H$2:$H$246,"Pass")+COUNTIFS(Stories!$B$2:$B$246,A46,Stories!$H$2:$H$246,"Pass (after fix)")</f>
        <v/>
      </c>
      <c r="D46" s="4">
        <f>COUNTIFS(Stories!$B$2:$B$246,A46,Stories!$H$2:$H$246,"Fail")</f>
        <v/>
      </c>
    </row>
    <row r="47">
      <c r="A47" s="4" t="inlineStr">
        <is>
          <t>UI: Issues</t>
        </is>
      </c>
      <c r="B47" s="4">
        <f>COUNTIF(Stories!$B$2:$B$246,A47)</f>
        <v/>
      </c>
      <c r="C47" s="4">
        <f>COUNTIFS(Stories!$B$2:$B$246,A47,Stories!$H$2:$H$246,"Pass")+COUNTIFS(Stories!$B$2:$B$246,A47,Stories!$H$2:$H$246,"Pass (after fix)")</f>
        <v/>
      </c>
      <c r="D47" s="4">
        <f>COUNTIFS(Stories!$B$2:$B$246,A47,Stories!$H$2:$H$246,"Fail")</f>
        <v/>
      </c>
    </row>
    <row r="48">
      <c r="A48" s="4" t="inlineStr">
        <is>
          <t>UI: Prompts</t>
        </is>
      </c>
      <c r="B48" s="4">
        <f>COUNTIF(Stories!$B$2:$B$246,A48)</f>
        <v/>
      </c>
      <c r="C48" s="4">
        <f>COUNTIFS(Stories!$B$2:$B$246,A48,Stories!$H$2:$H$246,"Pass")+COUNTIFS(Stories!$B$2:$B$246,A48,Stories!$H$2:$H$246,"Pass (after fix)")</f>
        <v/>
      </c>
      <c r="D48" s="4">
        <f>COUNTIFS(Stories!$B$2:$B$246,A48,Stories!$H$2:$H$246,"Fail")</f>
        <v/>
      </c>
    </row>
    <row r="49">
      <c r="A49" s="4" t="inlineStr">
        <is>
          <t>UI: Reports</t>
        </is>
      </c>
      <c r="B49" s="4">
        <f>COUNTIF(Stories!$B$2:$B$246,A49)</f>
        <v/>
      </c>
      <c r="C49" s="4">
        <f>COUNTIFS(Stories!$B$2:$B$246,A49,Stories!$H$2:$H$246,"Pass")+COUNTIFS(Stories!$B$2:$B$246,A49,Stories!$H$2:$H$246,"Pass (after fix)")</f>
        <v/>
      </c>
      <c r="D49" s="4">
        <f>COUNTIFS(Stories!$B$2:$B$246,A49,Stories!$H$2:$H$246,"Fail")</f>
        <v/>
      </c>
    </row>
    <row r="50">
      <c r="A50" s="4" t="inlineStr">
        <is>
          <t>UI: Settings</t>
        </is>
      </c>
      <c r="B50" s="4">
        <f>COUNTIF(Stories!$B$2:$B$246,A50)</f>
        <v/>
      </c>
      <c r="C50" s="4">
        <f>COUNTIFS(Stories!$B$2:$B$246,A50,Stories!$H$2:$H$246,"Pass")+COUNTIFS(Stories!$B$2:$B$246,A50,Stories!$H$2:$H$246,"Pass (after fix)")</f>
        <v/>
      </c>
      <c r="D50" s="4">
        <f>COUNTIFS(Stories!$B$2:$B$246,A50,Stories!$H$2:$H$246,"Fail")</f>
        <v/>
      </c>
    </row>
    <row r="51">
      <c r="A51" s="4" t="inlineStr">
        <is>
          <t>UI: Shell</t>
        </is>
      </c>
      <c r="B51" s="4">
        <f>COUNTIF(Stories!$B$2:$B$246,A51)</f>
        <v/>
      </c>
      <c r="C51" s="4">
        <f>COUNTIFS(Stories!$B$2:$B$246,A51,Stories!$H$2:$H$246,"Pass")+COUNTIFS(Stories!$B$2:$B$246,A51,Stories!$H$2:$H$246,"Pass (after fix)")</f>
        <v/>
      </c>
      <c r="D51" s="4">
        <f>COUNTIFS(Stories!$B$2:$B$246,A51,Stories!$H$2:$H$246,"Fail")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2026-08-15T20:43:37Z</dcterms:created>
  <dcterms:modified xsi:type="dcterms:W3CDTF">2026-08-15T20:44:45Z</dcterms:modified>
</cp:coreProperties>
</file>